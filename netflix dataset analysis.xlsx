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b9ac7642e1ecba65/Desktop/excel projecs/"/>
    </mc:Choice>
  </mc:AlternateContent>
  <xr:revisionPtr revIDLastSave="325" documentId="8_{3F1D6BEC-8EC8-4513-AFBA-6744186421FC}" xr6:coauthVersionLast="47" xr6:coauthVersionMax="47" xr10:uidLastSave="{C2462EA7-507D-4A18-BE5D-A4BCC36D1066}"/>
  <bookViews>
    <workbookView xWindow="-96" yWindow="0" windowWidth="11712" windowHeight="12336" firstSheet="2" activeTab="3" xr2:uid="{8E97C415-1412-454F-8E8C-72A54C371355}"/>
  </bookViews>
  <sheets>
    <sheet name="raw data" sheetId="1" r:id="rId1"/>
    <sheet name="cleaned data" sheetId="2" r:id="rId2"/>
    <sheet name="pivot table&amp;charts" sheetId="3" r:id="rId3"/>
    <sheet name="dashboard" sheetId="4" r:id="rId4"/>
  </sheets>
  <definedNames>
    <definedName name="Slicer_Country">#N/A</definedName>
    <definedName name="Slicer_Genre">#N/A</definedName>
    <definedName name="Slicer_Release_Year">#N/A</definedName>
    <definedName name="Slicer_Type">#N/A</definedName>
  </definedNames>
  <calcPr calcId="191029"/>
  <pivotCaches>
    <pivotCache cacheId="7" r:id="rId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2" i="2" l="1"/>
  <c r="E102" i="2"/>
  <c r="B103" i="2"/>
  <c r="B102" i="2"/>
</calcChain>
</file>

<file path=xl/sharedStrings.xml><?xml version="1.0" encoding="utf-8"?>
<sst xmlns="http://schemas.openxmlformats.org/spreadsheetml/2006/main" count="1293" uniqueCount="243">
  <si>
    <t>Show ID</t>
  </si>
  <si>
    <t>Type</t>
  </si>
  <si>
    <t>Title</t>
  </si>
  <si>
    <t>Genre</t>
  </si>
  <si>
    <t>Country</t>
  </si>
  <si>
    <t>Release Year</t>
  </si>
  <si>
    <t>Rating</t>
  </si>
  <si>
    <t>Duration</t>
  </si>
  <si>
    <t>Director</t>
  </si>
  <si>
    <t>Added Year</t>
  </si>
  <si>
    <t>N001</t>
  </si>
  <si>
    <t>TV show</t>
  </si>
  <si>
    <t>Sky High 23</t>
  </si>
  <si>
    <t>Comedy</t>
  </si>
  <si>
    <t>United States</t>
  </si>
  <si>
    <t>David Lee</t>
  </si>
  <si>
    <t>N002</t>
  </si>
  <si>
    <t>Tv Show</t>
  </si>
  <si>
    <t>Love Forever 22</t>
  </si>
  <si>
    <t>Romance</t>
  </si>
  <si>
    <t>Canada</t>
  </si>
  <si>
    <t>Amit Roy</t>
  </si>
  <si>
    <t>N003</t>
  </si>
  <si>
    <t>TV Show</t>
  </si>
  <si>
    <t>Ocean Blue 24</t>
  </si>
  <si>
    <t xml:space="preserve"> Romance</t>
  </si>
  <si>
    <t>U.S.A</t>
  </si>
  <si>
    <t>N004</t>
  </si>
  <si>
    <t>Ocean Blue 20</t>
  </si>
  <si>
    <t>Crime</t>
  </si>
  <si>
    <t>Raj Kumar</t>
  </si>
  <si>
    <t>N005</t>
  </si>
  <si>
    <t>Hidden Truth 4</t>
  </si>
  <si>
    <t>Action</t>
  </si>
  <si>
    <t>India</t>
  </si>
  <si>
    <t>N006</t>
  </si>
  <si>
    <t>Lost World 3</t>
  </si>
  <si>
    <t>Sci-Fi</t>
  </si>
  <si>
    <t>Japan</t>
  </si>
  <si>
    <t>N007</t>
  </si>
  <si>
    <t>Lost World 7</t>
  </si>
  <si>
    <t>N008</t>
  </si>
  <si>
    <t>Love Forever 14</t>
  </si>
  <si>
    <t xml:space="preserve">Romance </t>
  </si>
  <si>
    <t>United Kingdom</t>
  </si>
  <si>
    <t>N009</t>
  </si>
  <si>
    <t>Code X 21</t>
  </si>
  <si>
    <t xml:space="preserve">Thriller </t>
  </si>
  <si>
    <t>Emily Clark</t>
  </si>
  <si>
    <t>N010</t>
  </si>
  <si>
    <t>Lost World 20</t>
  </si>
  <si>
    <t>Drama</t>
  </si>
  <si>
    <t>UK</t>
  </si>
  <si>
    <t>N011</t>
  </si>
  <si>
    <t>Sky High 7</t>
  </si>
  <si>
    <t>Thriller</t>
  </si>
  <si>
    <t>N012</t>
  </si>
  <si>
    <t>Dark City 24</t>
  </si>
  <si>
    <t xml:space="preserve">Drama </t>
  </si>
  <si>
    <t>USA</t>
  </si>
  <si>
    <t>N013</t>
  </si>
  <si>
    <t>Love Forever 20</t>
  </si>
  <si>
    <t>Documentary</t>
  </si>
  <si>
    <t>N014</t>
  </si>
  <si>
    <t>Movie</t>
  </si>
  <si>
    <t>N015</t>
  </si>
  <si>
    <t>Code X 3</t>
  </si>
  <si>
    <t>N016</t>
  </si>
  <si>
    <t>Lost World 11</t>
  </si>
  <si>
    <t>N017</t>
  </si>
  <si>
    <t>Code X 24</t>
  </si>
  <si>
    <t>N018</t>
  </si>
  <si>
    <t>Hidden Truth 2</t>
  </si>
  <si>
    <t>N019</t>
  </si>
  <si>
    <t>Lost World 4</t>
  </si>
  <si>
    <t xml:space="preserve"> Drama</t>
  </si>
  <si>
    <t>Sarah Kim</t>
  </si>
  <si>
    <t>N020</t>
  </si>
  <si>
    <t>Love Forever 26</t>
  </si>
  <si>
    <t>John Smith</t>
  </si>
  <si>
    <t>N021</t>
  </si>
  <si>
    <t>Love Forever 5</t>
  </si>
  <si>
    <t xml:space="preserve">Action </t>
  </si>
  <si>
    <t>N022</t>
  </si>
  <si>
    <t>Code X 18</t>
  </si>
  <si>
    <t>Korea</t>
  </si>
  <si>
    <t>N023</t>
  </si>
  <si>
    <t>Ocean Blue 23</t>
  </si>
  <si>
    <t>N024</t>
  </si>
  <si>
    <t>Code X 29</t>
  </si>
  <si>
    <t>N025</t>
  </si>
  <si>
    <t>N026</t>
  </si>
  <si>
    <t>Dark City 4</t>
  </si>
  <si>
    <t>N027</t>
  </si>
  <si>
    <t>Sky High 1</t>
  </si>
  <si>
    <t>N028</t>
  </si>
  <si>
    <t>Love Forever 1</t>
  </si>
  <si>
    <t>N029</t>
  </si>
  <si>
    <t>Code X 30</t>
  </si>
  <si>
    <t>N030</t>
  </si>
  <si>
    <t>Lost World 29</t>
  </si>
  <si>
    <t>N031</t>
  </si>
  <si>
    <t>Ocean Blue 14</t>
  </si>
  <si>
    <t>N032</t>
  </si>
  <si>
    <t>Love Forever 7</t>
  </si>
  <si>
    <t xml:space="preserve"> Documentary</t>
  </si>
  <si>
    <t>N033</t>
  </si>
  <si>
    <t>Silent Night 28</t>
  </si>
  <si>
    <t>N034</t>
  </si>
  <si>
    <t>Sky High 3</t>
  </si>
  <si>
    <t>N035</t>
  </si>
  <si>
    <t>Sky High 6</t>
  </si>
  <si>
    <t>N036</t>
  </si>
  <si>
    <t>Code X 7</t>
  </si>
  <si>
    <t>N037</t>
  </si>
  <si>
    <t>Dark City 3</t>
  </si>
  <si>
    <t>N038</t>
  </si>
  <si>
    <t>Lost World 26</t>
  </si>
  <si>
    <t>N039</t>
  </si>
  <si>
    <t>Ocean Blue 3</t>
  </si>
  <si>
    <t>N040</t>
  </si>
  <si>
    <t>Dark City 11</t>
  </si>
  <si>
    <t>N041</t>
  </si>
  <si>
    <t>Ocean Blue 13</t>
  </si>
  <si>
    <t>N042</t>
  </si>
  <si>
    <t>Lost World 22</t>
  </si>
  <si>
    <t xml:space="preserve"> Crime</t>
  </si>
  <si>
    <t>N043</t>
  </si>
  <si>
    <t>N044</t>
  </si>
  <si>
    <t>Ocean Blue 30</t>
  </si>
  <si>
    <t xml:space="preserve"> Thriller</t>
  </si>
  <si>
    <t>N045</t>
  </si>
  <si>
    <t>Silent Night 3</t>
  </si>
  <si>
    <t>N046</t>
  </si>
  <si>
    <t>N047</t>
  </si>
  <si>
    <t>Code X 12</t>
  </si>
  <si>
    <t>N048</t>
  </si>
  <si>
    <t>N049</t>
  </si>
  <si>
    <t>Love Forever 21</t>
  </si>
  <si>
    <t>N050</t>
  </si>
  <si>
    <t>Lost World 28</t>
  </si>
  <si>
    <t>N051</t>
  </si>
  <si>
    <t>Silent Night 18</t>
  </si>
  <si>
    <t>N052</t>
  </si>
  <si>
    <t>Silent Night 14</t>
  </si>
  <si>
    <t>N053</t>
  </si>
  <si>
    <t>Ocean Blue 8</t>
  </si>
  <si>
    <t>N054</t>
  </si>
  <si>
    <t>N055</t>
  </si>
  <si>
    <t>Hidden Truth 9</t>
  </si>
  <si>
    <t>N056</t>
  </si>
  <si>
    <t>Love Forever 12</t>
  </si>
  <si>
    <t xml:space="preserve"> Action</t>
  </si>
  <si>
    <t>N057</t>
  </si>
  <si>
    <t>Hidden Truth 29</t>
  </si>
  <si>
    <t>N058</t>
  </si>
  <si>
    <t>N059</t>
  </si>
  <si>
    <t>Ocean Blue 1</t>
  </si>
  <si>
    <t>N060</t>
  </si>
  <si>
    <t>Code X 8</t>
  </si>
  <si>
    <t>N061</t>
  </si>
  <si>
    <t>Dark City 15</t>
  </si>
  <si>
    <t xml:space="preserve">Comedy </t>
  </si>
  <si>
    <t>N062</t>
  </si>
  <si>
    <t>Dark City 5</t>
  </si>
  <si>
    <t>N063</t>
  </si>
  <si>
    <t>Sky High 13</t>
  </si>
  <si>
    <t xml:space="preserve"> Action </t>
  </si>
  <si>
    <t>N064</t>
  </si>
  <si>
    <t>Hidden Truth 8</t>
  </si>
  <si>
    <t>N065</t>
  </si>
  <si>
    <t>N066</t>
  </si>
  <si>
    <t>Love Forever 9</t>
  </si>
  <si>
    <t>N067</t>
  </si>
  <si>
    <t>N068</t>
  </si>
  <si>
    <t>Ocean Blue 25</t>
  </si>
  <si>
    <t>N069</t>
  </si>
  <si>
    <t>Lost World 2</t>
  </si>
  <si>
    <t>N070</t>
  </si>
  <si>
    <t>Sky High 5</t>
  </si>
  <si>
    <t>N071</t>
  </si>
  <si>
    <t>Love Forever 15</t>
  </si>
  <si>
    <t>N072</t>
  </si>
  <si>
    <t>N073</t>
  </si>
  <si>
    <t xml:space="preserve">Documentary </t>
  </si>
  <si>
    <t>N074</t>
  </si>
  <si>
    <t>Ocean Blue 21</t>
  </si>
  <si>
    <t>N075</t>
  </si>
  <si>
    <t>Dark City 26</t>
  </si>
  <si>
    <t>N076</t>
  </si>
  <si>
    <t>Dark City 9</t>
  </si>
  <si>
    <t>N077</t>
  </si>
  <si>
    <t>N078</t>
  </si>
  <si>
    <t>Ocean Blue 18</t>
  </si>
  <si>
    <t>N079</t>
  </si>
  <si>
    <t>N080</t>
  </si>
  <si>
    <t>Sky High 16</t>
  </si>
  <si>
    <t>N081</t>
  </si>
  <si>
    <t>Code X 1</t>
  </si>
  <si>
    <t>N082</t>
  </si>
  <si>
    <t>N083</t>
  </si>
  <si>
    <t>N084</t>
  </si>
  <si>
    <t>Silent Night 27</t>
  </si>
  <si>
    <t>N085</t>
  </si>
  <si>
    <t>Code X 26</t>
  </si>
  <si>
    <t>N086</t>
  </si>
  <si>
    <t>Sky High 17</t>
  </si>
  <si>
    <t>N087</t>
  </si>
  <si>
    <t>N088</t>
  </si>
  <si>
    <t>Dark City 28</t>
  </si>
  <si>
    <t>N089</t>
  </si>
  <si>
    <t>N090</t>
  </si>
  <si>
    <t>Ocean Blue 9</t>
  </si>
  <si>
    <t>N091</t>
  </si>
  <si>
    <t>N092</t>
  </si>
  <si>
    <t>Lost World 30</t>
  </si>
  <si>
    <t>N093</t>
  </si>
  <si>
    <t>Sky High 26</t>
  </si>
  <si>
    <t>N094</t>
  </si>
  <si>
    <t>Love Forever 11</t>
  </si>
  <si>
    <t>N095</t>
  </si>
  <si>
    <t>N096</t>
  </si>
  <si>
    <t>Lost World 17</t>
  </si>
  <si>
    <t>N097</t>
  </si>
  <si>
    <t>N098</t>
  </si>
  <si>
    <t>Hidden Truth 18</t>
  </si>
  <si>
    <t>N099</t>
  </si>
  <si>
    <t>Silent Night 26</t>
  </si>
  <si>
    <t xml:space="preserve"> Sci-Fi</t>
  </si>
  <si>
    <t>N100</t>
  </si>
  <si>
    <t>Sky High 12</t>
  </si>
  <si>
    <t>unknown</t>
  </si>
  <si>
    <t>Row Labels</t>
  </si>
  <si>
    <t>Grand Total</t>
  </si>
  <si>
    <t>Count of Show ID</t>
  </si>
  <si>
    <t>Average of Rating</t>
  </si>
  <si>
    <t>Average of Duration</t>
  </si>
  <si>
    <t>TOTAL MOVIES</t>
  </si>
  <si>
    <t>TOTAL TV SHOWS</t>
  </si>
  <si>
    <t>AVG RATING</t>
  </si>
  <si>
    <t>TOTAL COUNTRIES</t>
  </si>
  <si>
    <t>TOTAL GENRES</t>
  </si>
  <si>
    <t>NETFLIX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</si>
</sst>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4"/>
      <color theme="1"/>
      <name val="Calibri"/>
      <family val="2"/>
      <scheme val="minor"/>
    </font>
    <font>
      <b/>
      <sz val="20"/>
      <color theme="1"/>
      <name val="Calibri"/>
      <family val="2"/>
      <scheme val="minor"/>
    </font>
    <font>
      <b/>
      <sz val="20"/>
      <color theme="0"/>
      <name val="Calibri"/>
      <family val="2"/>
      <scheme val="minor"/>
    </font>
    <font>
      <b/>
      <sz val="16"/>
      <color theme="0"/>
      <name val="Calibri"/>
      <family val="2"/>
      <scheme val="minor"/>
    </font>
    <font>
      <b/>
      <sz val="18"/>
      <color theme="0"/>
      <name val="Calibri"/>
      <family val="2"/>
      <scheme val="minor"/>
    </font>
  </fonts>
  <fills count="4">
    <fill>
      <patternFill patternType="none"/>
    </fill>
    <fill>
      <patternFill patternType="gray125"/>
    </fill>
    <fill>
      <patternFill patternType="solid">
        <fgColor theme="5" tint="-0.499984740745262"/>
        <bgColor indexed="64"/>
      </patternFill>
    </fill>
    <fill>
      <patternFill patternType="solid">
        <fgColor theme="5"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3" borderId="0" xfId="0" applyFill="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3" borderId="5" xfId="0" applyFont="1" applyFill="1" applyBorder="1"/>
    <xf numFmtId="0" fontId="1" fillId="3" borderId="0" xfId="0" applyFont="1" applyFill="1" applyBorder="1"/>
    <xf numFmtId="0" fontId="1" fillId="3" borderId="6" xfId="0" applyFont="1" applyFill="1" applyBorder="1"/>
    <xf numFmtId="0" fontId="1" fillId="3" borderId="7" xfId="0" applyFont="1" applyFill="1" applyBorder="1"/>
    <xf numFmtId="0" fontId="1" fillId="3" borderId="8" xfId="0" applyFont="1" applyFill="1" applyBorder="1"/>
    <xf numFmtId="0" fontId="1" fillId="3" borderId="9" xfId="0" applyFont="1" applyFill="1" applyBorder="1"/>
    <xf numFmtId="0" fontId="4" fillId="3" borderId="5" xfId="0" applyFont="1" applyFill="1" applyBorder="1"/>
    <xf numFmtId="0" fontId="5" fillId="3" borderId="5" xfId="0" applyFont="1" applyFill="1" applyBorder="1"/>
    <xf numFmtId="0" fontId="3" fillId="3" borderId="5" xfId="0" applyFont="1" applyFill="1" applyBorder="1"/>
    <xf numFmtId="0" fontId="0" fillId="0" borderId="0" xfId="0" applyFill="1" applyBorder="1"/>
  </cellXfs>
  <cellStyles count="1">
    <cellStyle name="Normal" xfId="0" builtinId="0"/>
  </cellStyles>
  <dxfs count="3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 dataset analysis.xlsx]pivot table&amp;charts!PivotTable1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Movies vs TV Shows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table&amp;charts'!$B$1</c:f>
              <c:strCache>
                <c:ptCount val="1"/>
                <c:pt idx="0">
                  <c:v>Total</c:v>
                </c:pt>
              </c:strCache>
            </c:strRef>
          </c:tx>
          <c:dPt>
            <c:idx val="0"/>
            <c:bubble3D val="0"/>
            <c:spPr>
              <a:solidFill>
                <a:schemeClr val="accent2">
                  <a:shade val="76000"/>
                </a:schemeClr>
              </a:solidFill>
              <a:ln>
                <a:noFill/>
              </a:ln>
              <a:effectLst/>
            </c:spPr>
          </c:dPt>
          <c:dPt>
            <c:idx val="1"/>
            <c:bubble3D val="0"/>
            <c:spPr>
              <a:solidFill>
                <a:schemeClr val="accent2">
                  <a:tint val="77000"/>
                </a:schemeClr>
              </a:solidFill>
              <a:ln>
                <a:noFill/>
              </a:ln>
              <a:effectLst/>
            </c:spPr>
          </c:dPt>
          <c:cat>
            <c:strRef>
              <c:f>'pivot table&amp;charts'!$A$2:$A$4</c:f>
              <c:strCache>
                <c:ptCount val="2"/>
                <c:pt idx="0">
                  <c:v>Movie</c:v>
                </c:pt>
                <c:pt idx="1">
                  <c:v>TV show</c:v>
                </c:pt>
              </c:strCache>
            </c:strRef>
          </c:cat>
          <c:val>
            <c:numRef>
              <c:f>'pivot table&amp;charts'!$B$2:$B$4</c:f>
              <c:numCache>
                <c:formatCode>General</c:formatCode>
                <c:ptCount val="2"/>
                <c:pt idx="0">
                  <c:v>18</c:v>
                </c:pt>
                <c:pt idx="1">
                  <c:v>82</c:v>
                </c:pt>
              </c:numCache>
            </c:numRef>
          </c:val>
          <c:extLst>
            <c:ext xmlns:c16="http://schemas.microsoft.com/office/drawing/2014/chart" uri="{C3380CC4-5D6E-409C-BE32-E72D297353CC}">
              <c16:uniqueId val="{00000003-617D-4A38-80C0-E04BD70E410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 dataset analysis.xlsx]pivot table&amp;charts!PivotTable2</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Genre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table&amp;charts'!$B$18</c:f>
              <c:strCache>
                <c:ptCount val="1"/>
                <c:pt idx="0">
                  <c:v>Total</c:v>
                </c:pt>
              </c:strCache>
            </c:strRef>
          </c:tx>
          <c:spPr>
            <a:solidFill>
              <a:schemeClr val="accent2"/>
            </a:solidFill>
            <a:ln>
              <a:noFill/>
            </a:ln>
            <a:effectLst/>
          </c:spPr>
          <c:invertIfNegative val="0"/>
          <c:cat>
            <c:strRef>
              <c:f>'pivot table&amp;charts'!$A$19:$A$41</c:f>
              <c:strCache>
                <c:ptCount val="22"/>
                <c:pt idx="0">
                  <c:v> Action</c:v>
                </c:pt>
                <c:pt idx="1">
                  <c:v> Action </c:v>
                </c:pt>
                <c:pt idx="2">
                  <c:v> Crime</c:v>
                </c:pt>
                <c:pt idx="3">
                  <c:v> Documentary</c:v>
                </c:pt>
                <c:pt idx="4">
                  <c:v> Drama</c:v>
                </c:pt>
                <c:pt idx="5">
                  <c:v> Romance</c:v>
                </c:pt>
                <c:pt idx="6">
                  <c:v> Sci-Fi</c:v>
                </c:pt>
                <c:pt idx="7">
                  <c:v> Thriller</c:v>
                </c:pt>
                <c:pt idx="8">
                  <c:v>Action</c:v>
                </c:pt>
                <c:pt idx="9">
                  <c:v>Action </c:v>
                </c:pt>
                <c:pt idx="10">
                  <c:v>Comedy</c:v>
                </c:pt>
                <c:pt idx="11">
                  <c:v>Comedy </c:v>
                </c:pt>
                <c:pt idx="12">
                  <c:v>Crime</c:v>
                </c:pt>
                <c:pt idx="13">
                  <c:v>Documentary</c:v>
                </c:pt>
                <c:pt idx="14">
                  <c:v>Documentary </c:v>
                </c:pt>
                <c:pt idx="15">
                  <c:v>Drama</c:v>
                </c:pt>
                <c:pt idx="16">
                  <c:v>Drama </c:v>
                </c:pt>
                <c:pt idx="17">
                  <c:v>Romance</c:v>
                </c:pt>
                <c:pt idx="18">
                  <c:v>Romance </c:v>
                </c:pt>
                <c:pt idx="19">
                  <c:v>Sci-Fi</c:v>
                </c:pt>
                <c:pt idx="20">
                  <c:v>Thriller</c:v>
                </c:pt>
                <c:pt idx="21">
                  <c:v>Thriller </c:v>
                </c:pt>
              </c:strCache>
            </c:strRef>
          </c:cat>
          <c:val>
            <c:numRef>
              <c:f>'pivot table&amp;charts'!$B$19:$B$41</c:f>
              <c:numCache>
                <c:formatCode>General</c:formatCode>
                <c:ptCount val="22"/>
                <c:pt idx="0">
                  <c:v>3</c:v>
                </c:pt>
                <c:pt idx="1">
                  <c:v>1</c:v>
                </c:pt>
                <c:pt idx="2">
                  <c:v>2</c:v>
                </c:pt>
                <c:pt idx="3">
                  <c:v>1</c:v>
                </c:pt>
                <c:pt idx="4">
                  <c:v>2</c:v>
                </c:pt>
                <c:pt idx="5">
                  <c:v>1</c:v>
                </c:pt>
                <c:pt idx="6">
                  <c:v>1</c:v>
                </c:pt>
                <c:pt idx="7">
                  <c:v>2</c:v>
                </c:pt>
                <c:pt idx="8">
                  <c:v>13</c:v>
                </c:pt>
                <c:pt idx="9">
                  <c:v>1</c:v>
                </c:pt>
                <c:pt idx="10">
                  <c:v>10</c:v>
                </c:pt>
                <c:pt idx="11">
                  <c:v>2</c:v>
                </c:pt>
                <c:pt idx="12">
                  <c:v>7</c:v>
                </c:pt>
                <c:pt idx="13">
                  <c:v>9</c:v>
                </c:pt>
                <c:pt idx="14">
                  <c:v>2</c:v>
                </c:pt>
                <c:pt idx="15">
                  <c:v>6</c:v>
                </c:pt>
                <c:pt idx="16">
                  <c:v>3</c:v>
                </c:pt>
                <c:pt idx="17">
                  <c:v>5</c:v>
                </c:pt>
                <c:pt idx="18">
                  <c:v>3</c:v>
                </c:pt>
                <c:pt idx="19">
                  <c:v>11</c:v>
                </c:pt>
                <c:pt idx="20">
                  <c:v>12</c:v>
                </c:pt>
                <c:pt idx="21">
                  <c:v>3</c:v>
                </c:pt>
              </c:numCache>
            </c:numRef>
          </c:val>
          <c:extLst>
            <c:ext xmlns:c16="http://schemas.microsoft.com/office/drawing/2014/chart" uri="{C3380CC4-5D6E-409C-BE32-E72D297353CC}">
              <c16:uniqueId val="{00000000-6C2A-431A-BB8B-83ADD23F439F}"/>
            </c:ext>
          </c:extLst>
        </c:ser>
        <c:dLbls>
          <c:showLegendKey val="0"/>
          <c:showVal val="0"/>
          <c:showCatName val="0"/>
          <c:showSerName val="0"/>
          <c:showPercent val="0"/>
          <c:showBubbleSize val="0"/>
        </c:dLbls>
        <c:gapWidth val="182"/>
        <c:axId val="217523888"/>
        <c:axId val="217520528"/>
      </c:barChart>
      <c:catAx>
        <c:axId val="21752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7520528"/>
        <c:crosses val="autoZero"/>
        <c:auto val="1"/>
        <c:lblAlgn val="ctr"/>
        <c:lblOffset val="100"/>
        <c:noMultiLvlLbl val="0"/>
      </c:catAx>
      <c:valAx>
        <c:axId val="217520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752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 dataset analysis.xlsx]pivot table&amp;charts!PivotTable3</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Country-wise Titles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table&amp;charts'!$B$44</c:f>
              <c:strCache>
                <c:ptCount val="1"/>
                <c:pt idx="0">
                  <c:v>Total</c:v>
                </c:pt>
              </c:strCache>
            </c:strRef>
          </c:tx>
          <c:spPr>
            <a:solidFill>
              <a:schemeClr val="accent2"/>
            </a:solidFill>
            <a:ln>
              <a:noFill/>
            </a:ln>
            <a:effectLst/>
          </c:spPr>
          <c:invertIfNegative val="0"/>
          <c:cat>
            <c:strRef>
              <c:f>'pivot table&amp;charts'!$A$45:$A$52</c:f>
              <c:strCache>
                <c:ptCount val="7"/>
                <c:pt idx="0">
                  <c:v>Canada</c:v>
                </c:pt>
                <c:pt idx="1">
                  <c:v>India</c:v>
                </c:pt>
                <c:pt idx="2">
                  <c:v>Japan</c:v>
                </c:pt>
                <c:pt idx="3">
                  <c:v>Korea</c:v>
                </c:pt>
                <c:pt idx="4">
                  <c:v>UK</c:v>
                </c:pt>
                <c:pt idx="5">
                  <c:v>United Kingdom</c:v>
                </c:pt>
                <c:pt idx="6">
                  <c:v>USA</c:v>
                </c:pt>
              </c:strCache>
            </c:strRef>
          </c:cat>
          <c:val>
            <c:numRef>
              <c:f>'pivot table&amp;charts'!$B$45:$B$52</c:f>
              <c:numCache>
                <c:formatCode>General</c:formatCode>
                <c:ptCount val="7"/>
                <c:pt idx="0">
                  <c:v>10</c:v>
                </c:pt>
                <c:pt idx="1">
                  <c:v>15</c:v>
                </c:pt>
                <c:pt idx="2">
                  <c:v>9</c:v>
                </c:pt>
                <c:pt idx="3">
                  <c:v>11</c:v>
                </c:pt>
                <c:pt idx="4">
                  <c:v>9</c:v>
                </c:pt>
                <c:pt idx="5">
                  <c:v>14</c:v>
                </c:pt>
                <c:pt idx="6">
                  <c:v>32</c:v>
                </c:pt>
              </c:numCache>
            </c:numRef>
          </c:val>
          <c:extLst>
            <c:ext xmlns:c16="http://schemas.microsoft.com/office/drawing/2014/chart" uri="{C3380CC4-5D6E-409C-BE32-E72D297353CC}">
              <c16:uniqueId val="{00000000-99AB-4884-B325-0C07D210E3D6}"/>
            </c:ext>
          </c:extLst>
        </c:ser>
        <c:dLbls>
          <c:showLegendKey val="0"/>
          <c:showVal val="0"/>
          <c:showCatName val="0"/>
          <c:showSerName val="0"/>
          <c:showPercent val="0"/>
          <c:showBubbleSize val="0"/>
        </c:dLbls>
        <c:gapWidth val="219"/>
        <c:overlap val="-27"/>
        <c:axId val="2066139104"/>
        <c:axId val="2066127104"/>
      </c:barChart>
      <c:catAx>
        <c:axId val="206613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127104"/>
        <c:auto val="1"/>
        <c:lblAlgn val="ctr"/>
        <c:lblOffset val="100"/>
        <c:noMultiLvlLbl val="0"/>
      </c:catAx>
      <c:valAx>
        <c:axId val="206612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139104"/>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 dataset analysis.xlsx]pivot table&amp;charts!PivotTable4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Average Rating by Genre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table&amp;charts'!$B$62</c:f>
              <c:strCache>
                <c:ptCount val="1"/>
                <c:pt idx="0">
                  <c:v>Total</c:v>
                </c:pt>
              </c:strCache>
            </c:strRef>
          </c:tx>
          <c:spPr>
            <a:solidFill>
              <a:schemeClr val="accent2"/>
            </a:solidFill>
            <a:ln>
              <a:noFill/>
            </a:ln>
            <a:effectLst/>
          </c:spPr>
          <c:invertIfNegative val="0"/>
          <c:cat>
            <c:strRef>
              <c:f>'pivot table&amp;charts'!$A$63:$A$85</c:f>
              <c:strCache>
                <c:ptCount val="22"/>
                <c:pt idx="0">
                  <c:v> Action</c:v>
                </c:pt>
                <c:pt idx="1">
                  <c:v> Action </c:v>
                </c:pt>
                <c:pt idx="2">
                  <c:v> Crime</c:v>
                </c:pt>
                <c:pt idx="3">
                  <c:v> Documentary</c:v>
                </c:pt>
                <c:pt idx="4">
                  <c:v> Drama</c:v>
                </c:pt>
                <c:pt idx="5">
                  <c:v> Romance</c:v>
                </c:pt>
                <c:pt idx="6">
                  <c:v> Sci-Fi</c:v>
                </c:pt>
                <c:pt idx="7">
                  <c:v> Thriller</c:v>
                </c:pt>
                <c:pt idx="8">
                  <c:v>Action</c:v>
                </c:pt>
                <c:pt idx="9">
                  <c:v>Action </c:v>
                </c:pt>
                <c:pt idx="10">
                  <c:v>Comedy</c:v>
                </c:pt>
                <c:pt idx="11">
                  <c:v>Comedy </c:v>
                </c:pt>
                <c:pt idx="12">
                  <c:v>Crime</c:v>
                </c:pt>
                <c:pt idx="13">
                  <c:v>Documentary</c:v>
                </c:pt>
                <c:pt idx="14">
                  <c:v>Documentary </c:v>
                </c:pt>
                <c:pt idx="15">
                  <c:v>Drama</c:v>
                </c:pt>
                <c:pt idx="16">
                  <c:v>Drama </c:v>
                </c:pt>
                <c:pt idx="17">
                  <c:v>Romance</c:v>
                </c:pt>
                <c:pt idx="18">
                  <c:v>Romance </c:v>
                </c:pt>
                <c:pt idx="19">
                  <c:v>Sci-Fi</c:v>
                </c:pt>
                <c:pt idx="20">
                  <c:v>Thriller</c:v>
                </c:pt>
                <c:pt idx="21">
                  <c:v>Thriller </c:v>
                </c:pt>
              </c:strCache>
            </c:strRef>
          </c:cat>
          <c:val>
            <c:numRef>
              <c:f>'pivot table&amp;charts'!$B$63:$B$85</c:f>
              <c:numCache>
                <c:formatCode>General</c:formatCode>
                <c:ptCount val="22"/>
                <c:pt idx="0">
                  <c:v>7.3999999999999995</c:v>
                </c:pt>
                <c:pt idx="1">
                  <c:v>7.1</c:v>
                </c:pt>
                <c:pt idx="2">
                  <c:v>7.7</c:v>
                </c:pt>
                <c:pt idx="3">
                  <c:v>7.1</c:v>
                </c:pt>
                <c:pt idx="4">
                  <c:v>7.4499999999999993</c:v>
                </c:pt>
                <c:pt idx="5">
                  <c:v>8.1</c:v>
                </c:pt>
                <c:pt idx="6">
                  <c:v>9</c:v>
                </c:pt>
                <c:pt idx="7">
                  <c:v>5.9</c:v>
                </c:pt>
                <c:pt idx="8">
                  <c:v>6.4384615384615387</c:v>
                </c:pt>
                <c:pt idx="9">
                  <c:v>7.1</c:v>
                </c:pt>
                <c:pt idx="10">
                  <c:v>6.9599999999999991</c:v>
                </c:pt>
                <c:pt idx="11">
                  <c:v>7.4499999999999993</c:v>
                </c:pt>
                <c:pt idx="12">
                  <c:v>6.4285714285714288</c:v>
                </c:pt>
                <c:pt idx="13">
                  <c:v>6.822222222222222</c:v>
                </c:pt>
                <c:pt idx="14">
                  <c:v>9.0500000000000007</c:v>
                </c:pt>
                <c:pt idx="15">
                  <c:v>7.8</c:v>
                </c:pt>
                <c:pt idx="16">
                  <c:v>8</c:v>
                </c:pt>
                <c:pt idx="17">
                  <c:v>7.06</c:v>
                </c:pt>
                <c:pt idx="18">
                  <c:v>4.3999999999999995</c:v>
                </c:pt>
                <c:pt idx="19">
                  <c:v>7.5636363636363635</c:v>
                </c:pt>
                <c:pt idx="20">
                  <c:v>5.2</c:v>
                </c:pt>
                <c:pt idx="21">
                  <c:v>5.2666666666666666</c:v>
                </c:pt>
              </c:numCache>
            </c:numRef>
          </c:val>
          <c:extLst>
            <c:ext xmlns:c16="http://schemas.microsoft.com/office/drawing/2014/chart" uri="{C3380CC4-5D6E-409C-BE32-E72D297353CC}">
              <c16:uniqueId val="{00000000-4B68-4F35-B537-02ED56F0B7B9}"/>
            </c:ext>
          </c:extLst>
        </c:ser>
        <c:dLbls>
          <c:showLegendKey val="0"/>
          <c:showVal val="0"/>
          <c:showCatName val="0"/>
          <c:showSerName val="0"/>
          <c:showPercent val="0"/>
          <c:showBubbleSize val="0"/>
        </c:dLbls>
        <c:gapWidth val="182"/>
        <c:axId val="257674416"/>
        <c:axId val="257677776"/>
      </c:barChart>
      <c:catAx>
        <c:axId val="25767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7677776"/>
        <c:crosses val="autoZero"/>
        <c:auto val="1"/>
        <c:lblAlgn val="ctr"/>
        <c:lblOffset val="100"/>
        <c:noMultiLvlLbl val="0"/>
      </c:catAx>
      <c:valAx>
        <c:axId val="257677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767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 dataset analysis.xlsx]pivot table&amp;charts!PivotTable5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Release Year Trend</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table&amp;charts'!$B$88</c:f>
              <c:strCache>
                <c:ptCount val="1"/>
                <c:pt idx="0">
                  <c:v>Total</c:v>
                </c:pt>
              </c:strCache>
            </c:strRef>
          </c:tx>
          <c:spPr>
            <a:ln w="28575" cap="rnd">
              <a:solidFill>
                <a:schemeClr val="accent2"/>
              </a:solidFill>
              <a:round/>
            </a:ln>
            <a:effectLst/>
          </c:spPr>
          <c:marker>
            <c:symbol val="none"/>
          </c:marker>
          <c:cat>
            <c:strRef>
              <c:f>'pivot table&amp;charts'!$A$89:$A$100</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table&amp;charts'!$B$89:$B$100</c:f>
              <c:numCache>
                <c:formatCode>General</c:formatCode>
                <c:ptCount val="11"/>
                <c:pt idx="0">
                  <c:v>5</c:v>
                </c:pt>
                <c:pt idx="1">
                  <c:v>16</c:v>
                </c:pt>
                <c:pt idx="2">
                  <c:v>4</c:v>
                </c:pt>
                <c:pt idx="3">
                  <c:v>10</c:v>
                </c:pt>
                <c:pt idx="4">
                  <c:v>10</c:v>
                </c:pt>
                <c:pt idx="5">
                  <c:v>6</c:v>
                </c:pt>
                <c:pt idx="6">
                  <c:v>6</c:v>
                </c:pt>
                <c:pt idx="7">
                  <c:v>7</c:v>
                </c:pt>
                <c:pt idx="8">
                  <c:v>12</c:v>
                </c:pt>
                <c:pt idx="9">
                  <c:v>11</c:v>
                </c:pt>
                <c:pt idx="10">
                  <c:v>13</c:v>
                </c:pt>
              </c:numCache>
            </c:numRef>
          </c:val>
          <c:smooth val="0"/>
          <c:extLst>
            <c:ext xmlns:c16="http://schemas.microsoft.com/office/drawing/2014/chart" uri="{C3380CC4-5D6E-409C-BE32-E72D297353CC}">
              <c16:uniqueId val="{00000000-41D6-4E1C-BCC5-BFD81765B9BF}"/>
            </c:ext>
          </c:extLst>
        </c:ser>
        <c:dLbls>
          <c:showLegendKey val="0"/>
          <c:showVal val="0"/>
          <c:showCatName val="0"/>
          <c:showSerName val="0"/>
          <c:showPercent val="0"/>
          <c:showBubbleSize val="0"/>
        </c:dLbls>
        <c:smooth val="0"/>
        <c:axId val="2066140064"/>
        <c:axId val="2066141984"/>
      </c:lineChart>
      <c:catAx>
        <c:axId val="206614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141984"/>
        <c:crosses val="autoZero"/>
        <c:auto val="1"/>
        <c:lblAlgn val="ctr"/>
        <c:lblOffset val="100"/>
        <c:noMultiLvlLbl val="0"/>
      </c:catAx>
      <c:valAx>
        <c:axId val="206614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14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 dataset analysis.xlsx]pivot table&amp;charts!PivotTable6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Average Duration by Genre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table&amp;charts'!$B$110</c:f>
              <c:strCache>
                <c:ptCount val="1"/>
                <c:pt idx="0">
                  <c:v>Total</c:v>
                </c:pt>
              </c:strCache>
            </c:strRef>
          </c:tx>
          <c:spPr>
            <a:solidFill>
              <a:schemeClr val="accent2"/>
            </a:solidFill>
            <a:ln>
              <a:noFill/>
            </a:ln>
            <a:effectLst/>
          </c:spPr>
          <c:invertIfNegative val="0"/>
          <c:cat>
            <c:strRef>
              <c:f>'pivot table&amp;charts'!$A$111:$A$133</c:f>
              <c:strCache>
                <c:ptCount val="22"/>
                <c:pt idx="0">
                  <c:v> Action</c:v>
                </c:pt>
                <c:pt idx="1">
                  <c:v> Action </c:v>
                </c:pt>
                <c:pt idx="2">
                  <c:v> Crime</c:v>
                </c:pt>
                <c:pt idx="3">
                  <c:v> Documentary</c:v>
                </c:pt>
                <c:pt idx="4">
                  <c:v> Drama</c:v>
                </c:pt>
                <c:pt idx="5">
                  <c:v> Romance</c:v>
                </c:pt>
                <c:pt idx="6">
                  <c:v> Sci-Fi</c:v>
                </c:pt>
                <c:pt idx="7">
                  <c:v> Thriller</c:v>
                </c:pt>
                <c:pt idx="8">
                  <c:v>Action</c:v>
                </c:pt>
                <c:pt idx="9">
                  <c:v>Action </c:v>
                </c:pt>
                <c:pt idx="10">
                  <c:v>Comedy</c:v>
                </c:pt>
                <c:pt idx="11">
                  <c:v>Comedy </c:v>
                </c:pt>
                <c:pt idx="12">
                  <c:v>Crime</c:v>
                </c:pt>
                <c:pt idx="13">
                  <c:v>Documentary</c:v>
                </c:pt>
                <c:pt idx="14">
                  <c:v>Documentary </c:v>
                </c:pt>
                <c:pt idx="15">
                  <c:v>Drama</c:v>
                </c:pt>
                <c:pt idx="16">
                  <c:v>Drama </c:v>
                </c:pt>
                <c:pt idx="17">
                  <c:v>Romance</c:v>
                </c:pt>
                <c:pt idx="18">
                  <c:v>Romance </c:v>
                </c:pt>
                <c:pt idx="19">
                  <c:v>Sci-Fi</c:v>
                </c:pt>
                <c:pt idx="20">
                  <c:v>Thriller</c:v>
                </c:pt>
                <c:pt idx="21">
                  <c:v>Thriller </c:v>
                </c:pt>
              </c:strCache>
            </c:strRef>
          </c:cat>
          <c:val>
            <c:numRef>
              <c:f>'pivot table&amp;charts'!$B$111:$B$133</c:f>
              <c:numCache>
                <c:formatCode>General</c:formatCode>
                <c:ptCount val="22"/>
                <c:pt idx="0">
                  <c:v>65</c:v>
                </c:pt>
                <c:pt idx="1">
                  <c:v>135</c:v>
                </c:pt>
                <c:pt idx="2">
                  <c:v>47.5</c:v>
                </c:pt>
                <c:pt idx="3">
                  <c:v>120</c:v>
                </c:pt>
                <c:pt idx="4">
                  <c:v>130</c:v>
                </c:pt>
                <c:pt idx="5">
                  <c:v>90</c:v>
                </c:pt>
                <c:pt idx="6">
                  <c:v>60</c:v>
                </c:pt>
                <c:pt idx="7">
                  <c:v>80</c:v>
                </c:pt>
                <c:pt idx="8">
                  <c:v>88.84615384615384</c:v>
                </c:pt>
                <c:pt idx="9">
                  <c:v>50</c:v>
                </c:pt>
                <c:pt idx="10">
                  <c:v>91</c:v>
                </c:pt>
                <c:pt idx="11">
                  <c:v>55</c:v>
                </c:pt>
                <c:pt idx="12">
                  <c:v>80.714285714285708</c:v>
                </c:pt>
                <c:pt idx="13">
                  <c:v>90</c:v>
                </c:pt>
                <c:pt idx="14">
                  <c:v>122.5</c:v>
                </c:pt>
                <c:pt idx="15">
                  <c:v>100</c:v>
                </c:pt>
                <c:pt idx="16">
                  <c:v>98.333333333333329</c:v>
                </c:pt>
                <c:pt idx="17">
                  <c:v>94</c:v>
                </c:pt>
                <c:pt idx="18">
                  <c:v>80</c:v>
                </c:pt>
                <c:pt idx="19">
                  <c:v>86.36363636363636</c:v>
                </c:pt>
                <c:pt idx="20">
                  <c:v>87.916666666666671</c:v>
                </c:pt>
                <c:pt idx="21">
                  <c:v>85</c:v>
                </c:pt>
              </c:numCache>
            </c:numRef>
          </c:val>
          <c:extLst>
            <c:ext xmlns:c16="http://schemas.microsoft.com/office/drawing/2014/chart" uri="{C3380CC4-5D6E-409C-BE32-E72D297353CC}">
              <c16:uniqueId val="{00000000-65C1-4EA5-A10B-615AC8A342F3}"/>
            </c:ext>
          </c:extLst>
        </c:ser>
        <c:dLbls>
          <c:showLegendKey val="0"/>
          <c:showVal val="0"/>
          <c:showCatName val="0"/>
          <c:showSerName val="0"/>
          <c:showPercent val="0"/>
          <c:showBubbleSize val="0"/>
        </c:dLbls>
        <c:gapWidth val="182"/>
        <c:axId val="320047520"/>
        <c:axId val="320031200"/>
      </c:barChart>
      <c:catAx>
        <c:axId val="32004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31200"/>
        <c:crosses val="autoZero"/>
        <c:auto val="1"/>
        <c:lblAlgn val="ctr"/>
        <c:lblOffset val="100"/>
        <c:noMultiLvlLbl val="0"/>
      </c:catAx>
      <c:valAx>
        <c:axId val="32003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4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 dataset analysis.xlsx]pivot table&amp;charts!PivotTable1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Movies vs TV Shows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hade val="76000"/>
            </a:schemeClr>
          </a:solidFill>
          <a:ln>
            <a:noFill/>
          </a:ln>
          <a:effectLst/>
        </c:spPr>
      </c:pivotFmt>
      <c:pivotFmt>
        <c:idx val="5"/>
        <c:spPr>
          <a:solidFill>
            <a:schemeClr val="accent2">
              <a:tint val="77000"/>
            </a:schemeClr>
          </a:solidFill>
          <a:ln>
            <a:noFill/>
          </a:ln>
          <a:effectLst/>
        </c:spPr>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hade val="76000"/>
            </a:schemeClr>
          </a:solidFill>
          <a:ln>
            <a:noFill/>
          </a:ln>
          <a:effectLst/>
        </c:spPr>
      </c:pivotFmt>
      <c:pivotFmt>
        <c:idx val="8"/>
        <c:spPr>
          <a:solidFill>
            <a:schemeClr val="accent2">
              <a:tint val="77000"/>
            </a:schemeClr>
          </a:solidFill>
          <a:ln>
            <a:noFill/>
          </a:ln>
          <a:effectLst/>
        </c:spPr>
      </c:pivotFmt>
    </c:pivotFmts>
    <c:plotArea>
      <c:layout/>
      <c:pieChart>
        <c:varyColors val="1"/>
        <c:ser>
          <c:idx val="0"/>
          <c:order val="0"/>
          <c:tx>
            <c:strRef>
              <c:f>'pivot table&amp;charts'!$B$1</c:f>
              <c:strCache>
                <c:ptCount val="1"/>
                <c:pt idx="0">
                  <c:v>Total</c:v>
                </c:pt>
              </c:strCache>
            </c:strRef>
          </c:tx>
          <c:dPt>
            <c:idx val="0"/>
            <c:bubble3D val="0"/>
            <c:spPr>
              <a:solidFill>
                <a:schemeClr val="accent2">
                  <a:shade val="76000"/>
                </a:schemeClr>
              </a:solidFill>
              <a:ln>
                <a:noFill/>
              </a:ln>
              <a:effectLst/>
            </c:spPr>
            <c:extLst>
              <c:ext xmlns:c16="http://schemas.microsoft.com/office/drawing/2014/chart" uri="{C3380CC4-5D6E-409C-BE32-E72D297353CC}">
                <c16:uniqueId val="{00000001-A4AB-42A7-8E75-1E641C0CAB94}"/>
              </c:ext>
            </c:extLst>
          </c:dPt>
          <c:dPt>
            <c:idx val="1"/>
            <c:bubble3D val="0"/>
            <c:spPr>
              <a:solidFill>
                <a:schemeClr val="accent2">
                  <a:tint val="77000"/>
                </a:schemeClr>
              </a:solidFill>
              <a:ln>
                <a:noFill/>
              </a:ln>
              <a:effectLst/>
            </c:spPr>
            <c:extLst>
              <c:ext xmlns:c16="http://schemas.microsoft.com/office/drawing/2014/chart" uri="{C3380CC4-5D6E-409C-BE32-E72D297353CC}">
                <c16:uniqueId val="{00000003-A4AB-42A7-8E75-1E641C0CAB94}"/>
              </c:ext>
            </c:extLst>
          </c:dPt>
          <c:cat>
            <c:strRef>
              <c:f>'pivot table&amp;charts'!$A$2:$A$4</c:f>
              <c:strCache>
                <c:ptCount val="2"/>
                <c:pt idx="0">
                  <c:v>Movie</c:v>
                </c:pt>
                <c:pt idx="1">
                  <c:v>TV show</c:v>
                </c:pt>
              </c:strCache>
            </c:strRef>
          </c:cat>
          <c:val>
            <c:numRef>
              <c:f>'pivot table&amp;charts'!$B$2:$B$4</c:f>
              <c:numCache>
                <c:formatCode>General</c:formatCode>
                <c:ptCount val="2"/>
                <c:pt idx="0">
                  <c:v>18</c:v>
                </c:pt>
                <c:pt idx="1">
                  <c:v>82</c:v>
                </c:pt>
              </c:numCache>
            </c:numRef>
          </c:val>
          <c:extLst>
            <c:ext xmlns:c16="http://schemas.microsoft.com/office/drawing/2014/chart" uri="{C3380CC4-5D6E-409C-BE32-E72D297353CC}">
              <c16:uniqueId val="{00000004-A4AB-42A7-8E75-1E641C0CAB9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 dataset analysis.xlsx]pivot table&amp;charts!PivotTable2</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Genre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table&amp;charts'!$B$18</c:f>
              <c:strCache>
                <c:ptCount val="1"/>
                <c:pt idx="0">
                  <c:v>Total</c:v>
                </c:pt>
              </c:strCache>
            </c:strRef>
          </c:tx>
          <c:spPr>
            <a:solidFill>
              <a:schemeClr val="accent2"/>
            </a:solidFill>
            <a:ln>
              <a:noFill/>
            </a:ln>
            <a:effectLst/>
          </c:spPr>
          <c:invertIfNegative val="0"/>
          <c:cat>
            <c:strRef>
              <c:f>'pivot table&amp;charts'!$A$19:$A$41</c:f>
              <c:strCache>
                <c:ptCount val="22"/>
                <c:pt idx="0">
                  <c:v> Action</c:v>
                </c:pt>
                <c:pt idx="1">
                  <c:v> Action </c:v>
                </c:pt>
                <c:pt idx="2">
                  <c:v> Crime</c:v>
                </c:pt>
                <c:pt idx="3">
                  <c:v> Documentary</c:v>
                </c:pt>
                <c:pt idx="4">
                  <c:v> Drama</c:v>
                </c:pt>
                <c:pt idx="5">
                  <c:v> Romance</c:v>
                </c:pt>
                <c:pt idx="6">
                  <c:v> Sci-Fi</c:v>
                </c:pt>
                <c:pt idx="7">
                  <c:v> Thriller</c:v>
                </c:pt>
                <c:pt idx="8">
                  <c:v>Action</c:v>
                </c:pt>
                <c:pt idx="9">
                  <c:v>Action </c:v>
                </c:pt>
                <c:pt idx="10">
                  <c:v>Comedy</c:v>
                </c:pt>
                <c:pt idx="11">
                  <c:v>Comedy </c:v>
                </c:pt>
                <c:pt idx="12">
                  <c:v>Crime</c:v>
                </c:pt>
                <c:pt idx="13">
                  <c:v>Documentary</c:v>
                </c:pt>
                <c:pt idx="14">
                  <c:v>Documentary </c:v>
                </c:pt>
                <c:pt idx="15">
                  <c:v>Drama</c:v>
                </c:pt>
                <c:pt idx="16">
                  <c:v>Drama </c:v>
                </c:pt>
                <c:pt idx="17">
                  <c:v>Romance</c:v>
                </c:pt>
                <c:pt idx="18">
                  <c:v>Romance </c:v>
                </c:pt>
                <c:pt idx="19">
                  <c:v>Sci-Fi</c:v>
                </c:pt>
                <c:pt idx="20">
                  <c:v>Thriller</c:v>
                </c:pt>
                <c:pt idx="21">
                  <c:v>Thriller </c:v>
                </c:pt>
              </c:strCache>
            </c:strRef>
          </c:cat>
          <c:val>
            <c:numRef>
              <c:f>'pivot table&amp;charts'!$B$19:$B$41</c:f>
              <c:numCache>
                <c:formatCode>General</c:formatCode>
                <c:ptCount val="22"/>
                <c:pt idx="0">
                  <c:v>3</c:v>
                </c:pt>
                <c:pt idx="1">
                  <c:v>1</c:v>
                </c:pt>
                <c:pt idx="2">
                  <c:v>2</c:v>
                </c:pt>
                <c:pt idx="3">
                  <c:v>1</c:v>
                </c:pt>
                <c:pt idx="4">
                  <c:v>2</c:v>
                </c:pt>
                <c:pt idx="5">
                  <c:v>1</c:v>
                </c:pt>
                <c:pt idx="6">
                  <c:v>1</c:v>
                </c:pt>
                <c:pt idx="7">
                  <c:v>2</c:v>
                </c:pt>
                <c:pt idx="8">
                  <c:v>13</c:v>
                </c:pt>
                <c:pt idx="9">
                  <c:v>1</c:v>
                </c:pt>
                <c:pt idx="10">
                  <c:v>10</c:v>
                </c:pt>
                <c:pt idx="11">
                  <c:v>2</c:v>
                </c:pt>
                <c:pt idx="12">
                  <c:v>7</c:v>
                </c:pt>
                <c:pt idx="13">
                  <c:v>9</c:v>
                </c:pt>
                <c:pt idx="14">
                  <c:v>2</c:v>
                </c:pt>
                <c:pt idx="15">
                  <c:v>6</c:v>
                </c:pt>
                <c:pt idx="16">
                  <c:v>3</c:v>
                </c:pt>
                <c:pt idx="17">
                  <c:v>5</c:v>
                </c:pt>
                <c:pt idx="18">
                  <c:v>3</c:v>
                </c:pt>
                <c:pt idx="19">
                  <c:v>11</c:v>
                </c:pt>
                <c:pt idx="20">
                  <c:v>12</c:v>
                </c:pt>
                <c:pt idx="21">
                  <c:v>3</c:v>
                </c:pt>
              </c:numCache>
            </c:numRef>
          </c:val>
          <c:extLst>
            <c:ext xmlns:c16="http://schemas.microsoft.com/office/drawing/2014/chart" uri="{C3380CC4-5D6E-409C-BE32-E72D297353CC}">
              <c16:uniqueId val="{00000000-8D16-48F6-ABED-33AA349936CB}"/>
            </c:ext>
          </c:extLst>
        </c:ser>
        <c:dLbls>
          <c:showLegendKey val="0"/>
          <c:showVal val="0"/>
          <c:showCatName val="0"/>
          <c:showSerName val="0"/>
          <c:showPercent val="0"/>
          <c:showBubbleSize val="0"/>
        </c:dLbls>
        <c:gapWidth val="182"/>
        <c:axId val="217523888"/>
        <c:axId val="217520528"/>
      </c:barChart>
      <c:catAx>
        <c:axId val="21752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7520528"/>
        <c:crosses val="autoZero"/>
        <c:auto val="1"/>
        <c:lblAlgn val="ctr"/>
        <c:lblOffset val="100"/>
        <c:noMultiLvlLbl val="0"/>
      </c:catAx>
      <c:valAx>
        <c:axId val="217520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752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 dataset analysis.xlsx]pivot table&amp;charts!PivotTable3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Country-wise Titles</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table&amp;charts'!$B$44</c:f>
              <c:strCache>
                <c:ptCount val="1"/>
                <c:pt idx="0">
                  <c:v>Total</c:v>
                </c:pt>
              </c:strCache>
            </c:strRef>
          </c:tx>
          <c:spPr>
            <a:solidFill>
              <a:schemeClr val="accent2"/>
            </a:solidFill>
            <a:ln>
              <a:noFill/>
            </a:ln>
            <a:effectLst/>
          </c:spPr>
          <c:invertIfNegative val="0"/>
          <c:cat>
            <c:strRef>
              <c:f>'pivot table&amp;charts'!$A$45:$A$52</c:f>
              <c:strCache>
                <c:ptCount val="7"/>
                <c:pt idx="0">
                  <c:v>Canada</c:v>
                </c:pt>
                <c:pt idx="1">
                  <c:v>India</c:v>
                </c:pt>
                <c:pt idx="2">
                  <c:v>Japan</c:v>
                </c:pt>
                <c:pt idx="3">
                  <c:v>Korea</c:v>
                </c:pt>
                <c:pt idx="4">
                  <c:v>UK</c:v>
                </c:pt>
                <c:pt idx="5">
                  <c:v>United Kingdom</c:v>
                </c:pt>
                <c:pt idx="6">
                  <c:v>USA</c:v>
                </c:pt>
              </c:strCache>
            </c:strRef>
          </c:cat>
          <c:val>
            <c:numRef>
              <c:f>'pivot table&amp;charts'!$B$45:$B$52</c:f>
              <c:numCache>
                <c:formatCode>General</c:formatCode>
                <c:ptCount val="7"/>
                <c:pt idx="0">
                  <c:v>10</c:v>
                </c:pt>
                <c:pt idx="1">
                  <c:v>15</c:v>
                </c:pt>
                <c:pt idx="2">
                  <c:v>9</c:v>
                </c:pt>
                <c:pt idx="3">
                  <c:v>11</c:v>
                </c:pt>
                <c:pt idx="4">
                  <c:v>9</c:v>
                </c:pt>
                <c:pt idx="5">
                  <c:v>14</c:v>
                </c:pt>
                <c:pt idx="6">
                  <c:v>32</c:v>
                </c:pt>
              </c:numCache>
            </c:numRef>
          </c:val>
          <c:extLst>
            <c:ext xmlns:c16="http://schemas.microsoft.com/office/drawing/2014/chart" uri="{C3380CC4-5D6E-409C-BE32-E72D297353CC}">
              <c16:uniqueId val="{00000000-4EED-40F9-950D-C57186602037}"/>
            </c:ext>
          </c:extLst>
        </c:ser>
        <c:dLbls>
          <c:showLegendKey val="0"/>
          <c:showVal val="0"/>
          <c:showCatName val="0"/>
          <c:showSerName val="0"/>
          <c:showPercent val="0"/>
          <c:showBubbleSize val="0"/>
        </c:dLbls>
        <c:gapWidth val="219"/>
        <c:overlap val="-27"/>
        <c:axId val="2066139104"/>
        <c:axId val="2066127104"/>
      </c:barChart>
      <c:catAx>
        <c:axId val="206613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127104"/>
        <c:crosses val="autoZero"/>
        <c:auto val="1"/>
        <c:lblAlgn val="ctr"/>
        <c:lblOffset val="100"/>
        <c:noMultiLvlLbl val="0"/>
      </c:catAx>
      <c:valAx>
        <c:axId val="206612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13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 dataset analysis.xlsx]pivot table&amp;charts!PivotTable4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Average Rating by Genre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table&amp;charts'!$B$62</c:f>
              <c:strCache>
                <c:ptCount val="1"/>
                <c:pt idx="0">
                  <c:v>Total</c:v>
                </c:pt>
              </c:strCache>
            </c:strRef>
          </c:tx>
          <c:spPr>
            <a:solidFill>
              <a:schemeClr val="accent2"/>
            </a:solidFill>
            <a:ln>
              <a:noFill/>
            </a:ln>
            <a:effectLst/>
          </c:spPr>
          <c:invertIfNegative val="0"/>
          <c:cat>
            <c:strRef>
              <c:f>'pivot table&amp;charts'!$A$63:$A$85</c:f>
              <c:strCache>
                <c:ptCount val="22"/>
                <c:pt idx="0">
                  <c:v> Action</c:v>
                </c:pt>
                <c:pt idx="1">
                  <c:v> Action </c:v>
                </c:pt>
                <c:pt idx="2">
                  <c:v> Crime</c:v>
                </c:pt>
                <c:pt idx="3">
                  <c:v> Documentary</c:v>
                </c:pt>
                <c:pt idx="4">
                  <c:v> Drama</c:v>
                </c:pt>
                <c:pt idx="5">
                  <c:v> Romance</c:v>
                </c:pt>
                <c:pt idx="6">
                  <c:v> Sci-Fi</c:v>
                </c:pt>
                <c:pt idx="7">
                  <c:v> Thriller</c:v>
                </c:pt>
                <c:pt idx="8">
                  <c:v>Action</c:v>
                </c:pt>
                <c:pt idx="9">
                  <c:v>Action </c:v>
                </c:pt>
                <c:pt idx="10">
                  <c:v>Comedy</c:v>
                </c:pt>
                <c:pt idx="11">
                  <c:v>Comedy </c:v>
                </c:pt>
                <c:pt idx="12">
                  <c:v>Crime</c:v>
                </c:pt>
                <c:pt idx="13">
                  <c:v>Documentary</c:v>
                </c:pt>
                <c:pt idx="14">
                  <c:v>Documentary </c:v>
                </c:pt>
                <c:pt idx="15">
                  <c:v>Drama</c:v>
                </c:pt>
                <c:pt idx="16">
                  <c:v>Drama </c:v>
                </c:pt>
                <c:pt idx="17">
                  <c:v>Romance</c:v>
                </c:pt>
                <c:pt idx="18">
                  <c:v>Romance </c:v>
                </c:pt>
                <c:pt idx="19">
                  <c:v>Sci-Fi</c:v>
                </c:pt>
                <c:pt idx="20">
                  <c:v>Thriller</c:v>
                </c:pt>
                <c:pt idx="21">
                  <c:v>Thriller </c:v>
                </c:pt>
              </c:strCache>
            </c:strRef>
          </c:cat>
          <c:val>
            <c:numRef>
              <c:f>'pivot table&amp;charts'!$B$63:$B$85</c:f>
              <c:numCache>
                <c:formatCode>General</c:formatCode>
                <c:ptCount val="22"/>
                <c:pt idx="0">
                  <c:v>7.3999999999999995</c:v>
                </c:pt>
                <c:pt idx="1">
                  <c:v>7.1</c:v>
                </c:pt>
                <c:pt idx="2">
                  <c:v>7.7</c:v>
                </c:pt>
                <c:pt idx="3">
                  <c:v>7.1</c:v>
                </c:pt>
                <c:pt idx="4">
                  <c:v>7.4499999999999993</c:v>
                </c:pt>
                <c:pt idx="5">
                  <c:v>8.1</c:v>
                </c:pt>
                <c:pt idx="6">
                  <c:v>9</c:v>
                </c:pt>
                <c:pt idx="7">
                  <c:v>5.9</c:v>
                </c:pt>
                <c:pt idx="8">
                  <c:v>6.4384615384615387</c:v>
                </c:pt>
                <c:pt idx="9">
                  <c:v>7.1</c:v>
                </c:pt>
                <c:pt idx="10">
                  <c:v>6.9599999999999991</c:v>
                </c:pt>
                <c:pt idx="11">
                  <c:v>7.4499999999999993</c:v>
                </c:pt>
                <c:pt idx="12">
                  <c:v>6.4285714285714288</c:v>
                </c:pt>
                <c:pt idx="13">
                  <c:v>6.822222222222222</c:v>
                </c:pt>
                <c:pt idx="14">
                  <c:v>9.0500000000000007</c:v>
                </c:pt>
                <c:pt idx="15">
                  <c:v>7.8</c:v>
                </c:pt>
                <c:pt idx="16">
                  <c:v>8</c:v>
                </c:pt>
                <c:pt idx="17">
                  <c:v>7.06</c:v>
                </c:pt>
                <c:pt idx="18">
                  <c:v>4.3999999999999995</c:v>
                </c:pt>
                <c:pt idx="19">
                  <c:v>7.5636363636363635</c:v>
                </c:pt>
                <c:pt idx="20">
                  <c:v>5.2</c:v>
                </c:pt>
                <c:pt idx="21">
                  <c:v>5.2666666666666666</c:v>
                </c:pt>
              </c:numCache>
            </c:numRef>
          </c:val>
          <c:extLst>
            <c:ext xmlns:c16="http://schemas.microsoft.com/office/drawing/2014/chart" uri="{C3380CC4-5D6E-409C-BE32-E72D297353CC}">
              <c16:uniqueId val="{00000000-5F27-489A-B4BF-8721FDE0D616}"/>
            </c:ext>
          </c:extLst>
        </c:ser>
        <c:dLbls>
          <c:showLegendKey val="0"/>
          <c:showVal val="0"/>
          <c:showCatName val="0"/>
          <c:showSerName val="0"/>
          <c:showPercent val="0"/>
          <c:showBubbleSize val="0"/>
        </c:dLbls>
        <c:gapWidth val="182"/>
        <c:axId val="257674416"/>
        <c:axId val="257677776"/>
      </c:barChart>
      <c:catAx>
        <c:axId val="25767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7677776"/>
        <c:crosses val="autoZero"/>
        <c:auto val="1"/>
        <c:lblAlgn val="ctr"/>
        <c:lblOffset val="100"/>
        <c:noMultiLvlLbl val="0"/>
      </c:catAx>
      <c:valAx>
        <c:axId val="257677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5767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 dataset analysis.xlsx]pivot table&amp;charts!PivotTable5</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Release Year Trend</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table&amp;charts'!$B$88</c:f>
              <c:strCache>
                <c:ptCount val="1"/>
                <c:pt idx="0">
                  <c:v>Total</c:v>
                </c:pt>
              </c:strCache>
            </c:strRef>
          </c:tx>
          <c:spPr>
            <a:ln w="28575" cap="rnd">
              <a:solidFill>
                <a:schemeClr val="accent2"/>
              </a:solidFill>
              <a:round/>
            </a:ln>
            <a:effectLst/>
          </c:spPr>
          <c:marker>
            <c:symbol val="none"/>
          </c:marker>
          <c:cat>
            <c:strRef>
              <c:f>'pivot table&amp;charts'!$A$89:$A$100</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table&amp;charts'!$B$89:$B$100</c:f>
              <c:numCache>
                <c:formatCode>General</c:formatCode>
                <c:ptCount val="11"/>
                <c:pt idx="0">
                  <c:v>5</c:v>
                </c:pt>
                <c:pt idx="1">
                  <c:v>16</c:v>
                </c:pt>
                <c:pt idx="2">
                  <c:v>4</c:v>
                </c:pt>
                <c:pt idx="3">
                  <c:v>10</c:v>
                </c:pt>
                <c:pt idx="4">
                  <c:v>10</c:v>
                </c:pt>
                <c:pt idx="5">
                  <c:v>6</c:v>
                </c:pt>
                <c:pt idx="6">
                  <c:v>6</c:v>
                </c:pt>
                <c:pt idx="7">
                  <c:v>7</c:v>
                </c:pt>
                <c:pt idx="8">
                  <c:v>12</c:v>
                </c:pt>
                <c:pt idx="9">
                  <c:v>11</c:v>
                </c:pt>
                <c:pt idx="10">
                  <c:v>13</c:v>
                </c:pt>
              </c:numCache>
            </c:numRef>
          </c:val>
          <c:smooth val="0"/>
          <c:extLst>
            <c:ext xmlns:c16="http://schemas.microsoft.com/office/drawing/2014/chart" uri="{C3380CC4-5D6E-409C-BE32-E72D297353CC}">
              <c16:uniqueId val="{00000000-1A66-46C8-B081-07ACF1E122A4}"/>
            </c:ext>
          </c:extLst>
        </c:ser>
        <c:dLbls>
          <c:showLegendKey val="0"/>
          <c:showVal val="0"/>
          <c:showCatName val="0"/>
          <c:showSerName val="0"/>
          <c:showPercent val="0"/>
          <c:showBubbleSize val="0"/>
        </c:dLbls>
        <c:smooth val="0"/>
        <c:axId val="2066140064"/>
        <c:axId val="2066141984"/>
      </c:lineChart>
      <c:catAx>
        <c:axId val="206614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141984"/>
        <c:crosses val="autoZero"/>
        <c:auto val="1"/>
        <c:lblAlgn val="ctr"/>
        <c:lblOffset val="100"/>
        <c:noMultiLvlLbl val="0"/>
      </c:catAx>
      <c:valAx>
        <c:axId val="206614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6614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 dataset analysis.xlsx]pivot table&amp;charts!PivotTable6</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Average Duration by Genre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table&amp;charts'!$B$110</c:f>
              <c:strCache>
                <c:ptCount val="1"/>
                <c:pt idx="0">
                  <c:v>Total</c:v>
                </c:pt>
              </c:strCache>
            </c:strRef>
          </c:tx>
          <c:spPr>
            <a:solidFill>
              <a:schemeClr val="accent2"/>
            </a:solidFill>
            <a:ln>
              <a:noFill/>
            </a:ln>
            <a:effectLst/>
          </c:spPr>
          <c:invertIfNegative val="0"/>
          <c:cat>
            <c:strRef>
              <c:f>'pivot table&amp;charts'!$A$111:$A$133</c:f>
              <c:strCache>
                <c:ptCount val="22"/>
                <c:pt idx="0">
                  <c:v> Action</c:v>
                </c:pt>
                <c:pt idx="1">
                  <c:v> Action </c:v>
                </c:pt>
                <c:pt idx="2">
                  <c:v> Crime</c:v>
                </c:pt>
                <c:pt idx="3">
                  <c:v> Documentary</c:v>
                </c:pt>
                <c:pt idx="4">
                  <c:v> Drama</c:v>
                </c:pt>
                <c:pt idx="5">
                  <c:v> Romance</c:v>
                </c:pt>
                <c:pt idx="6">
                  <c:v> Sci-Fi</c:v>
                </c:pt>
                <c:pt idx="7">
                  <c:v> Thriller</c:v>
                </c:pt>
                <c:pt idx="8">
                  <c:v>Action</c:v>
                </c:pt>
                <c:pt idx="9">
                  <c:v>Action </c:v>
                </c:pt>
                <c:pt idx="10">
                  <c:v>Comedy</c:v>
                </c:pt>
                <c:pt idx="11">
                  <c:v>Comedy </c:v>
                </c:pt>
                <c:pt idx="12">
                  <c:v>Crime</c:v>
                </c:pt>
                <c:pt idx="13">
                  <c:v>Documentary</c:v>
                </c:pt>
                <c:pt idx="14">
                  <c:v>Documentary </c:v>
                </c:pt>
                <c:pt idx="15">
                  <c:v>Drama</c:v>
                </c:pt>
                <c:pt idx="16">
                  <c:v>Drama </c:v>
                </c:pt>
                <c:pt idx="17">
                  <c:v>Romance</c:v>
                </c:pt>
                <c:pt idx="18">
                  <c:v>Romance </c:v>
                </c:pt>
                <c:pt idx="19">
                  <c:v>Sci-Fi</c:v>
                </c:pt>
                <c:pt idx="20">
                  <c:v>Thriller</c:v>
                </c:pt>
                <c:pt idx="21">
                  <c:v>Thriller </c:v>
                </c:pt>
              </c:strCache>
            </c:strRef>
          </c:cat>
          <c:val>
            <c:numRef>
              <c:f>'pivot table&amp;charts'!$B$111:$B$133</c:f>
              <c:numCache>
                <c:formatCode>General</c:formatCode>
                <c:ptCount val="22"/>
                <c:pt idx="0">
                  <c:v>65</c:v>
                </c:pt>
                <c:pt idx="1">
                  <c:v>135</c:v>
                </c:pt>
                <c:pt idx="2">
                  <c:v>47.5</c:v>
                </c:pt>
                <c:pt idx="3">
                  <c:v>120</c:v>
                </c:pt>
                <c:pt idx="4">
                  <c:v>130</c:v>
                </c:pt>
                <c:pt idx="5">
                  <c:v>90</c:v>
                </c:pt>
                <c:pt idx="6">
                  <c:v>60</c:v>
                </c:pt>
                <c:pt idx="7">
                  <c:v>80</c:v>
                </c:pt>
                <c:pt idx="8">
                  <c:v>88.84615384615384</c:v>
                </c:pt>
                <c:pt idx="9">
                  <c:v>50</c:v>
                </c:pt>
                <c:pt idx="10">
                  <c:v>91</c:v>
                </c:pt>
                <c:pt idx="11">
                  <c:v>55</c:v>
                </c:pt>
                <c:pt idx="12">
                  <c:v>80.714285714285708</c:v>
                </c:pt>
                <c:pt idx="13">
                  <c:v>90</c:v>
                </c:pt>
                <c:pt idx="14">
                  <c:v>122.5</c:v>
                </c:pt>
                <c:pt idx="15">
                  <c:v>100</c:v>
                </c:pt>
                <c:pt idx="16">
                  <c:v>98.333333333333329</c:v>
                </c:pt>
                <c:pt idx="17">
                  <c:v>94</c:v>
                </c:pt>
                <c:pt idx="18">
                  <c:v>80</c:v>
                </c:pt>
                <c:pt idx="19">
                  <c:v>86.36363636363636</c:v>
                </c:pt>
                <c:pt idx="20">
                  <c:v>87.916666666666671</c:v>
                </c:pt>
                <c:pt idx="21">
                  <c:v>85</c:v>
                </c:pt>
              </c:numCache>
            </c:numRef>
          </c:val>
          <c:extLst>
            <c:ext xmlns:c16="http://schemas.microsoft.com/office/drawing/2014/chart" uri="{C3380CC4-5D6E-409C-BE32-E72D297353CC}">
              <c16:uniqueId val="{00000000-7B42-4937-8719-E5F487B24419}"/>
            </c:ext>
          </c:extLst>
        </c:ser>
        <c:dLbls>
          <c:showLegendKey val="0"/>
          <c:showVal val="0"/>
          <c:showCatName val="0"/>
          <c:showSerName val="0"/>
          <c:showPercent val="0"/>
          <c:showBubbleSize val="0"/>
        </c:dLbls>
        <c:gapWidth val="182"/>
        <c:axId val="320047520"/>
        <c:axId val="320031200"/>
      </c:barChart>
      <c:catAx>
        <c:axId val="32004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31200"/>
        <c:crosses val="autoZero"/>
        <c:auto val="1"/>
        <c:lblAlgn val="ctr"/>
        <c:lblOffset val="100"/>
        <c:noMultiLvlLbl val="0"/>
      </c:catAx>
      <c:valAx>
        <c:axId val="32003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004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198120</xdr:colOff>
      <xdr:row>0</xdr:row>
      <xdr:rowOff>11430</xdr:rowOff>
    </xdr:from>
    <xdr:to>
      <xdr:col>9</xdr:col>
      <xdr:colOff>160020</xdr:colOff>
      <xdr:row>15</xdr:row>
      <xdr:rowOff>11430</xdr:rowOff>
    </xdr:to>
    <xdr:graphicFrame macro="">
      <xdr:nvGraphicFramePr>
        <xdr:cNvPr id="2" name="Chart 1">
          <a:extLst>
            <a:ext uri="{FF2B5EF4-FFF2-40B4-BE49-F238E27FC236}">
              <a16:creationId xmlns:a16="http://schemas.microsoft.com/office/drawing/2014/main" id="{1A45BABA-FF0C-4BC8-5F5B-65E5F0A6C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160020</xdr:colOff>
      <xdr:row>16</xdr:row>
      <xdr:rowOff>171450</xdr:rowOff>
    </xdr:from>
    <xdr:to>
      <xdr:col>9</xdr:col>
      <xdr:colOff>121920</xdr:colOff>
      <xdr:row>31</xdr:row>
      <xdr:rowOff>171450</xdr:rowOff>
    </xdr:to>
    <xdr:graphicFrame macro="">
      <xdr:nvGraphicFramePr>
        <xdr:cNvPr id="3" name="Chart 2">
          <a:extLst>
            <a:ext uri="{FF2B5EF4-FFF2-40B4-BE49-F238E27FC236}">
              <a16:creationId xmlns:a16="http://schemas.microsoft.com/office/drawing/2014/main" id="{DCB3C385-A5A5-3B7A-FC32-E8ED1FD3F2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363522</xdr:colOff>
      <xdr:row>43</xdr:row>
      <xdr:rowOff>27299</xdr:rowOff>
    </xdr:from>
    <xdr:to>
      <xdr:col>8</xdr:col>
      <xdr:colOff>276905</xdr:colOff>
      <xdr:row>53</xdr:row>
      <xdr:rowOff>55927</xdr:rowOff>
    </xdr:to>
    <xdr:graphicFrame macro="">
      <xdr:nvGraphicFramePr>
        <xdr:cNvPr id="4" name="Chart 3">
          <a:extLst>
            <a:ext uri="{FF2B5EF4-FFF2-40B4-BE49-F238E27FC236}">
              <a16:creationId xmlns:a16="http://schemas.microsoft.com/office/drawing/2014/main" id="{C3B33770-8963-3E2E-0678-9A0F576A0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342900</xdr:colOff>
      <xdr:row>61</xdr:row>
      <xdr:rowOff>133350</xdr:rowOff>
    </xdr:from>
    <xdr:to>
      <xdr:col>9</xdr:col>
      <xdr:colOff>304800</xdr:colOff>
      <xdr:row>76</xdr:row>
      <xdr:rowOff>133350</xdr:rowOff>
    </xdr:to>
    <xdr:graphicFrame macro="">
      <xdr:nvGraphicFramePr>
        <xdr:cNvPr id="5" name="Chart 4">
          <a:extLst>
            <a:ext uri="{FF2B5EF4-FFF2-40B4-BE49-F238E27FC236}">
              <a16:creationId xmlns:a16="http://schemas.microsoft.com/office/drawing/2014/main" id="{16BF9B5B-E23D-8AD7-54D7-09937B70E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538294</xdr:colOff>
      <xdr:row>87</xdr:row>
      <xdr:rowOff>34290</xdr:rowOff>
    </xdr:from>
    <xdr:to>
      <xdr:col>9</xdr:col>
      <xdr:colOff>320040</xdr:colOff>
      <xdr:row>100</xdr:row>
      <xdr:rowOff>48936</xdr:rowOff>
    </xdr:to>
    <xdr:graphicFrame macro="">
      <xdr:nvGraphicFramePr>
        <xdr:cNvPr id="6" name="Chart 5">
          <a:extLst>
            <a:ext uri="{FF2B5EF4-FFF2-40B4-BE49-F238E27FC236}">
              <a16:creationId xmlns:a16="http://schemas.microsoft.com/office/drawing/2014/main" id="{5F8E9DE9-29DA-5366-F534-FA10C35496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5080</xdr:colOff>
      <xdr:row>108</xdr:row>
      <xdr:rowOff>158750</xdr:rowOff>
    </xdr:from>
    <xdr:to>
      <xdr:col>10</xdr:col>
      <xdr:colOff>309880</xdr:colOff>
      <xdr:row>123</xdr:row>
      <xdr:rowOff>158750</xdr:rowOff>
    </xdr:to>
    <xdr:graphicFrame macro="">
      <xdr:nvGraphicFramePr>
        <xdr:cNvPr id="7" name="Chart 6">
          <a:extLst>
            <a:ext uri="{FF2B5EF4-FFF2-40B4-BE49-F238E27FC236}">
              <a16:creationId xmlns:a16="http://schemas.microsoft.com/office/drawing/2014/main" id="{734EA302-CBB3-54D0-D0C7-B02513F55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13</xdr:row>
      <xdr:rowOff>0</xdr:rowOff>
    </xdr:from>
    <xdr:to>
      <xdr:col>8</xdr:col>
      <xdr:colOff>288787</xdr:colOff>
      <xdr:row>28</xdr:row>
      <xdr:rowOff>114451</xdr:rowOff>
    </xdr:to>
    <xdr:graphicFrame macro="">
      <xdr:nvGraphicFramePr>
        <xdr:cNvPr id="2" name="Chart 1">
          <a:extLst>
            <a:ext uri="{FF2B5EF4-FFF2-40B4-BE49-F238E27FC236}">
              <a16:creationId xmlns:a16="http://schemas.microsoft.com/office/drawing/2014/main" id="{91C366B4-70BA-4FCF-909B-9BEDFE874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13</xdr:row>
      <xdr:rowOff>0</xdr:rowOff>
    </xdr:from>
    <xdr:to>
      <xdr:col>17</xdr:col>
      <xdr:colOff>288787</xdr:colOff>
      <xdr:row>28</xdr:row>
      <xdr:rowOff>114451</xdr:rowOff>
    </xdr:to>
    <xdr:graphicFrame macro="">
      <xdr:nvGraphicFramePr>
        <xdr:cNvPr id="3" name="Chart 2">
          <a:extLst>
            <a:ext uri="{FF2B5EF4-FFF2-40B4-BE49-F238E27FC236}">
              <a16:creationId xmlns:a16="http://schemas.microsoft.com/office/drawing/2014/main" id="{8CD0DCA9-D619-4476-B1D6-6FB5764AE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471055</xdr:colOff>
      <xdr:row>13</xdr:row>
      <xdr:rowOff>0</xdr:rowOff>
    </xdr:from>
    <xdr:to>
      <xdr:col>25</xdr:col>
      <xdr:colOff>512618</xdr:colOff>
      <xdr:row>28</xdr:row>
      <xdr:rowOff>69273</xdr:rowOff>
    </xdr:to>
    <xdr:graphicFrame macro="">
      <xdr:nvGraphicFramePr>
        <xdr:cNvPr id="4" name="Chart 3">
          <a:extLst>
            <a:ext uri="{FF2B5EF4-FFF2-40B4-BE49-F238E27FC236}">
              <a16:creationId xmlns:a16="http://schemas.microsoft.com/office/drawing/2014/main" id="{FDF20363-5AA7-4470-B4A9-0E1B1B59A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33</xdr:row>
      <xdr:rowOff>0</xdr:rowOff>
    </xdr:from>
    <xdr:to>
      <xdr:col>8</xdr:col>
      <xdr:colOff>288787</xdr:colOff>
      <xdr:row>48</xdr:row>
      <xdr:rowOff>114451</xdr:rowOff>
    </xdr:to>
    <xdr:graphicFrame macro="">
      <xdr:nvGraphicFramePr>
        <xdr:cNvPr id="5" name="Chart 4">
          <a:extLst>
            <a:ext uri="{FF2B5EF4-FFF2-40B4-BE49-F238E27FC236}">
              <a16:creationId xmlns:a16="http://schemas.microsoft.com/office/drawing/2014/main" id="{71CC99C5-2339-4AB9-8A34-7323FA39D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33</xdr:row>
      <xdr:rowOff>0</xdr:rowOff>
    </xdr:from>
    <xdr:to>
      <xdr:col>17</xdr:col>
      <xdr:colOff>108633</xdr:colOff>
      <xdr:row>48</xdr:row>
      <xdr:rowOff>152400</xdr:rowOff>
    </xdr:to>
    <xdr:graphicFrame macro="">
      <xdr:nvGraphicFramePr>
        <xdr:cNvPr id="6" name="Chart 5">
          <a:extLst>
            <a:ext uri="{FF2B5EF4-FFF2-40B4-BE49-F238E27FC236}">
              <a16:creationId xmlns:a16="http://schemas.microsoft.com/office/drawing/2014/main" id="{9D5D32BC-EB32-45ED-83F6-138FD58B0E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498765</xdr:colOff>
      <xdr:row>33</xdr:row>
      <xdr:rowOff>0</xdr:rowOff>
    </xdr:from>
    <xdr:to>
      <xdr:col>25</xdr:col>
      <xdr:colOff>512619</xdr:colOff>
      <xdr:row>48</xdr:row>
      <xdr:rowOff>114451</xdr:rowOff>
    </xdr:to>
    <xdr:graphicFrame macro="">
      <xdr:nvGraphicFramePr>
        <xdr:cNvPr id="7" name="Chart 6">
          <a:extLst>
            <a:ext uri="{FF2B5EF4-FFF2-40B4-BE49-F238E27FC236}">
              <a16:creationId xmlns:a16="http://schemas.microsoft.com/office/drawing/2014/main" id="{F2700602-2F4D-4EA0-9C67-605A6513C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xdr:col>
      <xdr:colOff>0</xdr:colOff>
      <xdr:row>53</xdr:row>
      <xdr:rowOff>0</xdr:rowOff>
    </xdr:from>
    <xdr:to>
      <xdr:col>5</xdr:col>
      <xdr:colOff>0</xdr:colOff>
      <xdr:row>66</xdr:row>
      <xdr:rowOff>155575</xdr:rowOff>
    </xdr:to>
    <mc:AlternateContent xmlns:mc="http://schemas.openxmlformats.org/markup-compatibility/2006">
      <mc:Choice xmlns:sle15="http://schemas.microsoft.com/office/drawing/2012/slicer" Requires="sle15">
        <xdr:graphicFrame macro="">
          <xdr:nvGraphicFramePr>
            <xdr:cNvPr id="8" name="Type 1">
              <a:extLst>
                <a:ext uri="{FF2B5EF4-FFF2-40B4-BE49-F238E27FC236}">
                  <a16:creationId xmlns:a16="http://schemas.microsoft.com/office/drawing/2014/main" id="{744BFC94-E4C5-4FD1-9ED0-1855BBB7D6BE}"/>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1211385" y="10062308"/>
              <a:ext cx="1817077" cy="24415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589936</xdr:colOff>
      <xdr:row>52</xdr:row>
      <xdr:rowOff>172065</xdr:rowOff>
    </xdr:from>
    <xdr:to>
      <xdr:col>8</xdr:col>
      <xdr:colOff>589936</xdr:colOff>
      <xdr:row>66</xdr:row>
      <xdr:rowOff>143285</xdr:rowOff>
    </xdr:to>
    <mc:AlternateContent xmlns:mc="http://schemas.openxmlformats.org/markup-compatibility/2006">
      <mc:Choice xmlns:sle15="http://schemas.microsoft.com/office/drawing/2012/slicer" Requires="sle15">
        <xdr:graphicFrame macro="">
          <xdr:nvGraphicFramePr>
            <xdr:cNvPr id="9" name="Genre 1">
              <a:extLst>
                <a:ext uri="{FF2B5EF4-FFF2-40B4-BE49-F238E27FC236}">
                  <a16:creationId xmlns:a16="http://schemas.microsoft.com/office/drawing/2014/main" id="{97CB3D3B-584B-40E3-BD98-69EC4B5EF090}"/>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3618398" y="10058527"/>
              <a:ext cx="1817076" cy="243306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0</xdr:colOff>
      <xdr:row>53</xdr:row>
      <xdr:rowOff>0</xdr:rowOff>
    </xdr:from>
    <xdr:to>
      <xdr:col>13</xdr:col>
      <xdr:colOff>0</xdr:colOff>
      <xdr:row>66</xdr:row>
      <xdr:rowOff>155575</xdr:rowOff>
    </xdr:to>
    <mc:AlternateContent xmlns:mc="http://schemas.openxmlformats.org/markup-compatibility/2006">
      <mc:Choice xmlns:sle15="http://schemas.microsoft.com/office/drawing/2012/slicer" Requires="sle15">
        <xdr:graphicFrame macro="">
          <xdr:nvGraphicFramePr>
            <xdr:cNvPr id="10" name="Country 1">
              <a:extLst>
                <a:ext uri="{FF2B5EF4-FFF2-40B4-BE49-F238E27FC236}">
                  <a16:creationId xmlns:a16="http://schemas.microsoft.com/office/drawing/2014/main" id="{56A2329B-3323-42E5-92BC-83E7C6A9F35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056923" y="10062308"/>
              <a:ext cx="1817077" cy="24415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184354</xdr:colOff>
      <xdr:row>53</xdr:row>
      <xdr:rowOff>0</xdr:rowOff>
    </xdr:from>
    <xdr:to>
      <xdr:col>17</xdr:col>
      <xdr:colOff>184354</xdr:colOff>
      <xdr:row>66</xdr:row>
      <xdr:rowOff>155575</xdr:rowOff>
    </xdr:to>
    <mc:AlternateContent xmlns:mc="http://schemas.openxmlformats.org/markup-compatibility/2006">
      <mc:Choice xmlns:sle15="http://schemas.microsoft.com/office/drawing/2012/slicer" Requires="sle15">
        <xdr:graphicFrame macro="">
          <xdr:nvGraphicFramePr>
            <xdr:cNvPr id="11" name="Release Year 1">
              <a:extLst>
                <a:ext uri="{FF2B5EF4-FFF2-40B4-BE49-F238E27FC236}">
                  <a16:creationId xmlns:a16="http://schemas.microsoft.com/office/drawing/2014/main" id="{766B8F73-9B98-4A8D-96B5-4D2551F104F7}"/>
                </a:ext>
              </a:extLst>
            </xdr:cNvPr>
            <xdr:cNvGraphicFramePr/>
          </xdr:nvGraphicFramePr>
          <xdr:xfrm>
            <a:off x="0" y="0"/>
            <a:ext cx="0" cy="0"/>
          </xdr:xfrm>
          <a:graphic>
            <a:graphicData uri="http://schemas.microsoft.com/office/drawing/2010/slicer">
              <sle:slicer xmlns:sle="http://schemas.microsoft.com/office/drawing/2010/slicer" name="Release Year 1"/>
            </a:graphicData>
          </a:graphic>
        </xdr:graphicFrame>
      </mc:Choice>
      <mc:Fallback>
        <xdr:sp macro="" textlink="">
          <xdr:nvSpPr>
            <xdr:cNvPr id="0" name=""/>
            <xdr:cNvSpPr>
              <a:spLocks noTextEdit="1"/>
            </xdr:cNvSpPr>
          </xdr:nvSpPr>
          <xdr:spPr>
            <a:xfrm>
              <a:off x="8664046" y="10062308"/>
              <a:ext cx="1817077" cy="24415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sa" refreshedDate="46193.645390972219" createdVersion="8" refreshedVersion="8" minRefreshableVersion="3" recordCount="100" xr:uid="{C069D871-BFAC-4F66-91BB-BAB644794D4D}">
  <cacheSource type="worksheet">
    <worksheetSource name="Table1"/>
  </cacheSource>
  <cacheFields count="10">
    <cacheField name="Show ID" numFmtId="0">
      <sharedItems count="100">
        <s v="N001"/>
        <s v="N002"/>
        <s v="N003"/>
        <s v="N004"/>
        <s v="N005"/>
        <s v="N006"/>
        <s v="N007"/>
        <s v="N008"/>
        <s v="N009"/>
        <s v="N010"/>
        <s v="N011"/>
        <s v="N012"/>
        <s v="N013"/>
        <s v="N014"/>
        <s v="N015"/>
        <s v="N016"/>
        <s v="N017"/>
        <s v="N018"/>
        <s v="N019"/>
        <s v="N020"/>
        <s v="N021"/>
        <s v="N022"/>
        <s v="N023"/>
        <s v="N024"/>
        <s v="N025"/>
        <s v="N026"/>
        <s v="N027"/>
        <s v="N028"/>
        <s v="N029"/>
        <s v="N030"/>
        <s v="N031"/>
        <s v="N032"/>
        <s v="N033"/>
        <s v="N034"/>
        <s v="N035"/>
        <s v="N036"/>
        <s v="N037"/>
        <s v="N038"/>
        <s v="N039"/>
        <s v="N040"/>
        <s v="N041"/>
        <s v="N042"/>
        <s v="N043"/>
        <s v="N044"/>
        <s v="N045"/>
        <s v="N046"/>
        <s v="N047"/>
        <s v="N048"/>
        <s v="N049"/>
        <s v="N050"/>
        <s v="N051"/>
        <s v="N052"/>
        <s v="N053"/>
        <s v="N054"/>
        <s v="N055"/>
        <s v="N056"/>
        <s v="N057"/>
        <s v="N058"/>
        <s v="N059"/>
        <s v="N060"/>
        <s v="N061"/>
        <s v="N062"/>
        <s v="N063"/>
        <s v="N064"/>
        <s v="N065"/>
        <s v="N066"/>
        <s v="N067"/>
        <s v="N068"/>
        <s v="N069"/>
        <s v="N070"/>
        <s v="N071"/>
        <s v="N072"/>
        <s v="N073"/>
        <s v="N074"/>
        <s v="N075"/>
        <s v="N076"/>
        <s v="N077"/>
        <s v="N078"/>
        <s v="N079"/>
        <s v="N080"/>
        <s v="N081"/>
        <s v="N082"/>
        <s v="N083"/>
        <s v="N084"/>
        <s v="N085"/>
        <s v="N086"/>
        <s v="N087"/>
        <s v="N088"/>
        <s v="N089"/>
        <s v="N090"/>
        <s v="N091"/>
        <s v="N092"/>
        <s v="N093"/>
        <s v="N094"/>
        <s v="N095"/>
        <s v="N096"/>
        <s v="N097"/>
        <s v="N098"/>
        <s v="N099"/>
        <s v="N100"/>
      </sharedItems>
    </cacheField>
    <cacheField name="Type" numFmtId="0">
      <sharedItems count="2">
        <s v="TV show"/>
        <s v="Movie"/>
      </sharedItems>
    </cacheField>
    <cacheField name="Title" numFmtId="0">
      <sharedItems/>
    </cacheField>
    <cacheField name="Genre" numFmtId="0">
      <sharedItems count="22">
        <s v="Comedy"/>
        <s v="Romance"/>
        <s v=" Romance"/>
        <s v="Crime"/>
        <s v="Action"/>
        <s v="Sci-Fi"/>
        <s v="Romance "/>
        <s v="Thriller "/>
        <s v="Drama"/>
        <s v="Thriller"/>
        <s v="Drama "/>
        <s v="Documentary"/>
        <s v=" Drama"/>
        <s v="Action "/>
        <s v=" Documentary"/>
        <s v=" Crime"/>
        <s v=" Thriller"/>
        <s v=" Action"/>
        <s v="Comedy "/>
        <s v=" Action "/>
        <s v="Documentary "/>
        <s v=" Sci-Fi"/>
      </sharedItems>
    </cacheField>
    <cacheField name="Country" numFmtId="0">
      <sharedItems count="7">
        <s v="USA"/>
        <s v="Canada"/>
        <s v="India"/>
        <s v="Japan"/>
        <s v="United Kingdom"/>
        <s v="UK"/>
        <s v="Korea"/>
      </sharedItems>
    </cacheField>
    <cacheField name="Release Year" numFmtId="0">
      <sharedItems containsSemiMixedTypes="0" containsString="0" containsNumber="1" containsInteger="1" minValue="2015" maxValue="2025" count="11">
        <n v="2022"/>
        <n v="2016"/>
        <n v="2018"/>
        <n v="2017"/>
        <n v="2019"/>
        <n v="2025"/>
        <n v="2020"/>
        <n v="2021"/>
        <n v="2024"/>
        <n v="2015"/>
        <n v="2023"/>
      </sharedItems>
    </cacheField>
    <cacheField name="Rating" numFmtId="0">
      <sharedItems containsSemiMixedTypes="0" containsString="0" containsNumber="1" minValue="0" maxValue="9.5"/>
    </cacheField>
    <cacheField name="Duration" numFmtId="0">
      <sharedItems containsSemiMixedTypes="0" containsString="0" containsNumber="1" containsInteger="1" minValue="0" maxValue="150"/>
    </cacheField>
    <cacheField name="Director" numFmtId="0">
      <sharedItems/>
    </cacheField>
    <cacheField name="Added Year" numFmtId="0">
      <sharedItems containsSemiMixedTypes="0" containsString="0" containsNumber="1" containsInteger="1" minValue="2016" maxValue="20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Sky High 23"/>
    <x v="0"/>
    <x v="0"/>
    <x v="0"/>
    <n v="7.7"/>
    <n v="150"/>
    <s v="David Lee"/>
    <n v="2016"/>
  </r>
  <r>
    <x v="1"/>
    <x v="0"/>
    <s v="Love Forever 22"/>
    <x v="1"/>
    <x v="1"/>
    <x v="1"/>
    <n v="6.5"/>
    <n v="135"/>
    <s v="Amit Roy"/>
    <n v="2019"/>
  </r>
  <r>
    <x v="2"/>
    <x v="0"/>
    <s v="Ocean Blue 24"/>
    <x v="2"/>
    <x v="0"/>
    <x v="2"/>
    <n v="8.1"/>
    <n v="90"/>
    <s v="unknown"/>
    <n v="2022"/>
  </r>
  <r>
    <x v="3"/>
    <x v="0"/>
    <s v="Ocean Blue 20"/>
    <x v="3"/>
    <x v="0"/>
    <x v="3"/>
    <n v="0"/>
    <n v="100"/>
    <s v="Raj Kumar"/>
    <n v="2021"/>
  </r>
  <r>
    <x v="4"/>
    <x v="0"/>
    <s v="Hidden Truth 4"/>
    <x v="4"/>
    <x v="2"/>
    <x v="0"/>
    <n v="9.1999999999999993"/>
    <n v="90"/>
    <s v="unknown"/>
    <n v="2023"/>
  </r>
  <r>
    <x v="5"/>
    <x v="0"/>
    <s v="Lost World 3"/>
    <x v="5"/>
    <x v="3"/>
    <x v="4"/>
    <n v="7.5"/>
    <n v="90"/>
    <s v="unknown"/>
    <n v="2019"/>
  </r>
  <r>
    <x v="6"/>
    <x v="0"/>
    <s v="Lost World 7"/>
    <x v="4"/>
    <x v="1"/>
    <x v="5"/>
    <n v="6.3"/>
    <n v="110"/>
    <s v="David Lee"/>
    <n v="2026"/>
  </r>
  <r>
    <x v="7"/>
    <x v="0"/>
    <s v="Love Forever 14"/>
    <x v="6"/>
    <x v="4"/>
    <x v="1"/>
    <n v="0"/>
    <n v="50"/>
    <s v="unknown"/>
    <n v="2019"/>
  </r>
  <r>
    <x v="8"/>
    <x v="0"/>
    <s v="Code X 21"/>
    <x v="7"/>
    <x v="1"/>
    <x v="6"/>
    <n v="7.1"/>
    <n v="45"/>
    <s v="Emily Clark"/>
    <n v="2019"/>
  </r>
  <r>
    <x v="9"/>
    <x v="0"/>
    <s v="Lost World 20"/>
    <x v="8"/>
    <x v="5"/>
    <x v="7"/>
    <n v="6.3"/>
    <n v="45"/>
    <s v="Raj Kumar"/>
    <n v="2017"/>
  </r>
  <r>
    <x v="10"/>
    <x v="0"/>
    <s v="Sky High 7"/>
    <x v="9"/>
    <x v="5"/>
    <x v="6"/>
    <n v="7"/>
    <n v="60"/>
    <s v="Emily Clark"/>
    <n v="2026"/>
  </r>
  <r>
    <x v="11"/>
    <x v="0"/>
    <s v="Dark City 24"/>
    <x v="10"/>
    <x v="0"/>
    <x v="8"/>
    <n v="7"/>
    <n v="60"/>
    <s v="David Lee"/>
    <n v="2016"/>
  </r>
  <r>
    <x v="12"/>
    <x v="0"/>
    <s v="Love Forever 20"/>
    <x v="11"/>
    <x v="0"/>
    <x v="9"/>
    <n v="6.8"/>
    <n v="120"/>
    <s v="unknown"/>
    <n v="2020"/>
  </r>
  <r>
    <x v="13"/>
    <x v="1"/>
    <s v="Hidden Truth 4"/>
    <x v="5"/>
    <x v="4"/>
    <x v="1"/>
    <n v="7.8"/>
    <n v="45"/>
    <s v="unknown"/>
    <n v="2017"/>
  </r>
  <r>
    <x v="14"/>
    <x v="0"/>
    <s v="Code X 3"/>
    <x v="9"/>
    <x v="1"/>
    <x v="5"/>
    <n v="5.9"/>
    <n v="150"/>
    <s v="unknown"/>
    <n v="2019"/>
  </r>
  <r>
    <x v="15"/>
    <x v="0"/>
    <s v="Lost World 11"/>
    <x v="5"/>
    <x v="3"/>
    <x v="10"/>
    <n v="7.7"/>
    <n v="120"/>
    <s v="Raj Kumar"/>
    <n v="2023"/>
  </r>
  <r>
    <x v="16"/>
    <x v="0"/>
    <s v="Code X 24"/>
    <x v="8"/>
    <x v="2"/>
    <x v="1"/>
    <n v="6.8"/>
    <n v="135"/>
    <s v="Raj Kumar"/>
    <n v="2021"/>
  </r>
  <r>
    <x v="17"/>
    <x v="0"/>
    <s v="Hidden Truth 2"/>
    <x v="0"/>
    <x v="0"/>
    <x v="8"/>
    <n v="6.8"/>
    <n v="100"/>
    <s v="unknown"/>
    <n v="2024"/>
  </r>
  <r>
    <x v="18"/>
    <x v="0"/>
    <s v="Lost World 4"/>
    <x v="12"/>
    <x v="1"/>
    <x v="4"/>
    <n v="6.7"/>
    <n v="150"/>
    <s v="Sarah Kim"/>
    <n v="2021"/>
  </r>
  <r>
    <x v="19"/>
    <x v="1"/>
    <s v="Love Forever 26"/>
    <x v="11"/>
    <x v="0"/>
    <x v="9"/>
    <n v="7.1"/>
    <n v="110"/>
    <s v="John Smith"/>
    <n v="2026"/>
  </r>
  <r>
    <x v="20"/>
    <x v="1"/>
    <s v="Love Forever 5"/>
    <x v="13"/>
    <x v="0"/>
    <x v="7"/>
    <n v="7.1"/>
    <n v="50"/>
    <s v="Sarah Kim"/>
    <n v="2019"/>
  </r>
  <r>
    <x v="21"/>
    <x v="0"/>
    <s v="Code X 18"/>
    <x v="9"/>
    <x v="6"/>
    <x v="6"/>
    <n v="0"/>
    <n v="120"/>
    <s v="unknown"/>
    <n v="2019"/>
  </r>
  <r>
    <x v="22"/>
    <x v="0"/>
    <s v="Ocean Blue 23"/>
    <x v="5"/>
    <x v="0"/>
    <x v="10"/>
    <n v="7.9"/>
    <n v="90"/>
    <s v="Amit Roy"/>
    <n v="2020"/>
  </r>
  <r>
    <x v="23"/>
    <x v="0"/>
    <s v="Code X 29"/>
    <x v="8"/>
    <x v="0"/>
    <x v="1"/>
    <n v="7.1"/>
    <n v="60"/>
    <s v="unknown"/>
    <n v="2018"/>
  </r>
  <r>
    <x v="24"/>
    <x v="1"/>
    <s v="Code X 24"/>
    <x v="4"/>
    <x v="0"/>
    <x v="8"/>
    <n v="6.6"/>
    <n v="60"/>
    <s v="John Smith"/>
    <n v="2026"/>
  </r>
  <r>
    <x v="25"/>
    <x v="0"/>
    <s v="Dark City 4"/>
    <x v="11"/>
    <x v="4"/>
    <x v="1"/>
    <n v="7.5"/>
    <n v="50"/>
    <s v="Amit Roy"/>
    <n v="2016"/>
  </r>
  <r>
    <x v="26"/>
    <x v="0"/>
    <s v="Sky High 1"/>
    <x v="0"/>
    <x v="6"/>
    <x v="0"/>
    <n v="0"/>
    <n v="150"/>
    <s v="Emily Clark"/>
    <n v="2018"/>
  </r>
  <r>
    <x v="27"/>
    <x v="0"/>
    <s v="Love Forever 1"/>
    <x v="0"/>
    <x v="2"/>
    <x v="0"/>
    <n v="8.6"/>
    <n v="45"/>
    <s v="Amit Roy"/>
    <n v="2022"/>
  </r>
  <r>
    <x v="28"/>
    <x v="1"/>
    <s v="Code X 30"/>
    <x v="7"/>
    <x v="4"/>
    <x v="8"/>
    <n v="8.6999999999999993"/>
    <n v="150"/>
    <s v="Emily Clark"/>
    <n v="2026"/>
  </r>
  <r>
    <x v="29"/>
    <x v="0"/>
    <s v="Lost World 29"/>
    <x v="4"/>
    <x v="2"/>
    <x v="2"/>
    <n v="6.4"/>
    <n v="150"/>
    <s v="John Smith"/>
    <n v="2026"/>
  </r>
  <r>
    <x v="30"/>
    <x v="1"/>
    <s v="Ocean Blue 14"/>
    <x v="8"/>
    <x v="2"/>
    <x v="2"/>
    <n v="9.1999999999999993"/>
    <n v="150"/>
    <s v="Raj Kumar"/>
    <n v="2025"/>
  </r>
  <r>
    <x v="31"/>
    <x v="0"/>
    <s v="Love Forever 7"/>
    <x v="14"/>
    <x v="0"/>
    <x v="4"/>
    <n v="7.1"/>
    <n v="120"/>
    <s v="David Lee"/>
    <n v="2016"/>
  </r>
  <r>
    <x v="32"/>
    <x v="1"/>
    <s v="Silent Night 28"/>
    <x v="11"/>
    <x v="6"/>
    <x v="5"/>
    <n v="6.1"/>
    <n v="150"/>
    <s v="Amit Roy"/>
    <n v="2024"/>
  </r>
  <r>
    <x v="33"/>
    <x v="0"/>
    <s v="Sky High 3"/>
    <x v="4"/>
    <x v="5"/>
    <x v="8"/>
    <n v="8.4"/>
    <n v="110"/>
    <s v="David Lee"/>
    <n v="2023"/>
  </r>
  <r>
    <x v="34"/>
    <x v="0"/>
    <s v="Sky High 6"/>
    <x v="3"/>
    <x v="6"/>
    <x v="5"/>
    <n v="9.4"/>
    <n v="50"/>
    <s v="unknown"/>
    <n v="2026"/>
  </r>
  <r>
    <x v="35"/>
    <x v="0"/>
    <s v="Code X 7"/>
    <x v="10"/>
    <x v="5"/>
    <x v="4"/>
    <n v="9.1"/>
    <n v="135"/>
    <s v="Amit Roy"/>
    <n v="2023"/>
  </r>
  <r>
    <x v="36"/>
    <x v="0"/>
    <s v="Dark City 3"/>
    <x v="9"/>
    <x v="5"/>
    <x v="7"/>
    <n v="6.1"/>
    <n v="60"/>
    <s v="Emily Clark"/>
    <n v="2026"/>
  </r>
  <r>
    <x v="37"/>
    <x v="0"/>
    <s v="Lost World 26"/>
    <x v="3"/>
    <x v="1"/>
    <x v="1"/>
    <n v="6.3"/>
    <n v="45"/>
    <s v="Sarah Kim"/>
    <n v="2019"/>
  </r>
  <r>
    <x v="38"/>
    <x v="0"/>
    <s v="Ocean Blue 3"/>
    <x v="5"/>
    <x v="6"/>
    <x v="6"/>
    <n v="8.6999999999999993"/>
    <n v="45"/>
    <s v="unknown"/>
    <n v="2026"/>
  </r>
  <r>
    <x v="39"/>
    <x v="0"/>
    <s v="Dark City 11"/>
    <x v="7"/>
    <x v="4"/>
    <x v="10"/>
    <n v="0"/>
    <n v="60"/>
    <s v="Emily Clark"/>
    <n v="2024"/>
  </r>
  <r>
    <x v="40"/>
    <x v="0"/>
    <s v="Ocean Blue 13"/>
    <x v="3"/>
    <x v="0"/>
    <x v="1"/>
    <n v="5.6"/>
    <n v="150"/>
    <s v="unknown"/>
    <n v="2016"/>
  </r>
  <r>
    <x v="41"/>
    <x v="1"/>
    <s v="Lost World 22"/>
    <x v="15"/>
    <x v="0"/>
    <x v="2"/>
    <n v="6.5"/>
    <n v="50"/>
    <s v="Amit Roy"/>
    <n v="2023"/>
  </r>
  <r>
    <x v="42"/>
    <x v="0"/>
    <s v="Love Forever 22"/>
    <x v="9"/>
    <x v="0"/>
    <x v="3"/>
    <n v="0"/>
    <n v="60"/>
    <s v="Sarah Kim"/>
    <n v="2016"/>
  </r>
  <r>
    <x v="43"/>
    <x v="0"/>
    <s v="Ocean Blue 30"/>
    <x v="16"/>
    <x v="3"/>
    <x v="3"/>
    <n v="5.9"/>
    <n v="50"/>
    <s v="John Smith"/>
    <n v="2022"/>
  </r>
  <r>
    <x v="44"/>
    <x v="1"/>
    <s v="Silent Night 3"/>
    <x v="11"/>
    <x v="4"/>
    <x v="10"/>
    <n v="7.4"/>
    <n v="90"/>
    <s v="unknown"/>
    <n v="2021"/>
  </r>
  <r>
    <x v="45"/>
    <x v="0"/>
    <s v="Love Forever 20"/>
    <x v="1"/>
    <x v="0"/>
    <x v="2"/>
    <n v="5.6"/>
    <n v="135"/>
    <s v="unknown"/>
    <n v="2022"/>
  </r>
  <r>
    <x v="46"/>
    <x v="0"/>
    <s v="Code X 12"/>
    <x v="4"/>
    <x v="4"/>
    <x v="10"/>
    <n v="6.1"/>
    <n v="0"/>
    <s v="John Smith"/>
    <n v="2020"/>
  </r>
  <r>
    <x v="47"/>
    <x v="0"/>
    <s v="Dark City 3"/>
    <x v="0"/>
    <x v="1"/>
    <x v="4"/>
    <n v="6.9"/>
    <n v="90"/>
    <s v="Emily Clark"/>
    <n v="2018"/>
  </r>
  <r>
    <x v="48"/>
    <x v="0"/>
    <s v="Love Forever 21"/>
    <x v="0"/>
    <x v="5"/>
    <x v="5"/>
    <n v="7.6"/>
    <n v="0"/>
    <s v="John Smith"/>
    <n v="2016"/>
  </r>
  <r>
    <x v="49"/>
    <x v="0"/>
    <s v="Lost World 28"/>
    <x v="9"/>
    <x v="2"/>
    <x v="4"/>
    <n v="5.5"/>
    <n v="100"/>
    <s v="John Smith"/>
    <n v="2026"/>
  </r>
  <r>
    <x v="50"/>
    <x v="0"/>
    <s v="Silent Night 18"/>
    <x v="4"/>
    <x v="3"/>
    <x v="5"/>
    <n v="6.6"/>
    <n v="60"/>
    <s v="John Smith"/>
    <n v="2025"/>
  </r>
  <r>
    <x v="51"/>
    <x v="0"/>
    <s v="Silent Night 14"/>
    <x v="9"/>
    <x v="2"/>
    <x v="1"/>
    <n v="6"/>
    <n v="90"/>
    <s v="David Lee"/>
    <n v="2024"/>
  </r>
  <r>
    <x v="52"/>
    <x v="1"/>
    <s v="Ocean Blue 8"/>
    <x v="0"/>
    <x v="2"/>
    <x v="9"/>
    <n v="9.3000000000000007"/>
    <n v="60"/>
    <s v="Raj Kumar"/>
    <n v="2024"/>
  </r>
  <r>
    <x v="53"/>
    <x v="0"/>
    <s v="Silent Night 3"/>
    <x v="11"/>
    <x v="5"/>
    <x v="8"/>
    <n v="6.1"/>
    <n v="45"/>
    <s v="Raj Kumar"/>
    <n v="2023"/>
  </r>
  <r>
    <x v="54"/>
    <x v="0"/>
    <s v="Hidden Truth 9"/>
    <x v="5"/>
    <x v="1"/>
    <x v="4"/>
    <n v="9.1999999999999993"/>
    <n v="60"/>
    <s v="Sarah Kim"/>
    <n v="2026"/>
  </r>
  <r>
    <x v="55"/>
    <x v="0"/>
    <s v="Love Forever 12"/>
    <x v="17"/>
    <x v="6"/>
    <x v="9"/>
    <n v="7.8"/>
    <n v="45"/>
    <s v="unknown"/>
    <n v="2020"/>
  </r>
  <r>
    <x v="56"/>
    <x v="0"/>
    <s v="Hidden Truth 29"/>
    <x v="4"/>
    <x v="0"/>
    <x v="5"/>
    <n v="6.6"/>
    <n v="100"/>
    <s v="Sarah Kim"/>
    <n v="2020"/>
  </r>
  <r>
    <x v="57"/>
    <x v="0"/>
    <s v="Lost World 29"/>
    <x v="9"/>
    <x v="0"/>
    <x v="1"/>
    <n v="8.6999999999999993"/>
    <n v="135"/>
    <s v="Sarah Kim"/>
    <n v="2026"/>
  </r>
  <r>
    <x v="58"/>
    <x v="1"/>
    <s v="Ocean Blue 1"/>
    <x v="0"/>
    <x v="2"/>
    <x v="0"/>
    <n v="7.3"/>
    <n v="135"/>
    <s v="Raj Kumar"/>
    <n v="2024"/>
  </r>
  <r>
    <x v="59"/>
    <x v="0"/>
    <s v="Code X 8"/>
    <x v="0"/>
    <x v="0"/>
    <x v="10"/>
    <n v="9.4"/>
    <n v="45"/>
    <s v="Raj Kumar"/>
    <n v="2024"/>
  </r>
  <r>
    <x v="60"/>
    <x v="0"/>
    <s v="Dark City 15"/>
    <x v="18"/>
    <x v="4"/>
    <x v="4"/>
    <n v="6.7"/>
    <n v="50"/>
    <s v="unknown"/>
    <n v="2021"/>
  </r>
  <r>
    <x v="61"/>
    <x v="1"/>
    <s v="Dark City 5"/>
    <x v="3"/>
    <x v="0"/>
    <x v="1"/>
    <n v="9.1999999999999993"/>
    <n v="60"/>
    <s v="Raj Kumar"/>
    <n v="2016"/>
  </r>
  <r>
    <x v="62"/>
    <x v="1"/>
    <s v="Sky High 13"/>
    <x v="19"/>
    <x v="5"/>
    <x v="4"/>
    <n v="7.1"/>
    <n v="135"/>
    <s v="Raj Kumar"/>
    <n v="2026"/>
  </r>
  <r>
    <x v="63"/>
    <x v="0"/>
    <s v="Hidden Truth 8"/>
    <x v="9"/>
    <x v="6"/>
    <x v="7"/>
    <n v="9.5"/>
    <n v="110"/>
    <s v="John Smith"/>
    <n v="2022"/>
  </r>
  <r>
    <x v="64"/>
    <x v="0"/>
    <s v="Dark City 4"/>
    <x v="4"/>
    <x v="4"/>
    <x v="5"/>
    <n v="0"/>
    <n v="0"/>
    <s v="unknown"/>
    <n v="2019"/>
  </r>
  <r>
    <x v="65"/>
    <x v="0"/>
    <s v="Love Forever 9"/>
    <x v="4"/>
    <x v="0"/>
    <x v="1"/>
    <n v="6.6"/>
    <n v="90"/>
    <s v="unknown"/>
    <n v="2023"/>
  </r>
  <r>
    <x v="66"/>
    <x v="0"/>
    <s v="Code X 30"/>
    <x v="6"/>
    <x v="5"/>
    <x v="2"/>
    <n v="6.4"/>
    <n v="100"/>
    <s v="Sarah Kim"/>
    <n v="2018"/>
  </r>
  <r>
    <x v="67"/>
    <x v="0"/>
    <s v="Ocean Blue 25"/>
    <x v="8"/>
    <x v="0"/>
    <x v="10"/>
    <n v="8"/>
    <n v="110"/>
    <s v="Emily Clark"/>
    <n v="2023"/>
  </r>
  <r>
    <x v="68"/>
    <x v="1"/>
    <s v="Lost World 2"/>
    <x v="3"/>
    <x v="0"/>
    <x v="1"/>
    <n v="6.9"/>
    <n v="50"/>
    <s v="John Smith"/>
    <n v="2016"/>
  </r>
  <r>
    <x v="69"/>
    <x v="0"/>
    <s v="Sky High 5"/>
    <x v="8"/>
    <x v="2"/>
    <x v="5"/>
    <n v="9.4"/>
    <n v="100"/>
    <s v="Amit Roy"/>
    <n v="2018"/>
  </r>
  <r>
    <x v="70"/>
    <x v="0"/>
    <s v="Love Forever 15"/>
    <x v="5"/>
    <x v="0"/>
    <x v="8"/>
    <n v="6.4"/>
    <n v="45"/>
    <s v="Raj Kumar"/>
    <n v="2021"/>
  </r>
  <r>
    <x v="71"/>
    <x v="0"/>
    <s v="Sky High 7"/>
    <x v="5"/>
    <x v="3"/>
    <x v="5"/>
    <n v="5.8"/>
    <n v="110"/>
    <s v="Sarah Kim"/>
    <n v="2016"/>
  </r>
  <r>
    <x v="72"/>
    <x v="0"/>
    <s v="Code X 7"/>
    <x v="20"/>
    <x v="3"/>
    <x v="10"/>
    <n v="9.1999999999999993"/>
    <n v="135"/>
    <s v="unknown"/>
    <n v="2016"/>
  </r>
  <r>
    <x v="73"/>
    <x v="0"/>
    <s v="Ocean Blue 21"/>
    <x v="9"/>
    <x v="4"/>
    <x v="2"/>
    <n v="6.8"/>
    <n v="110"/>
    <s v="Sarah Kim"/>
    <n v="2020"/>
  </r>
  <r>
    <x v="74"/>
    <x v="0"/>
    <s v="Dark City 26"/>
    <x v="1"/>
    <x v="3"/>
    <x v="1"/>
    <n v="7.3"/>
    <n v="45"/>
    <s v="Raj Kumar"/>
    <n v="2022"/>
  </r>
  <r>
    <x v="75"/>
    <x v="1"/>
    <s v="Dark City 9"/>
    <x v="0"/>
    <x v="0"/>
    <x v="7"/>
    <n v="6"/>
    <n v="135"/>
    <s v="unknown"/>
    <n v="2021"/>
  </r>
  <r>
    <x v="76"/>
    <x v="0"/>
    <s v="Silent Night 28"/>
    <x v="11"/>
    <x v="4"/>
    <x v="10"/>
    <n v="7"/>
    <n v="110"/>
    <s v="Amit Roy"/>
    <n v="2019"/>
  </r>
  <r>
    <x v="77"/>
    <x v="0"/>
    <s v="Ocean Blue 18"/>
    <x v="20"/>
    <x v="0"/>
    <x v="8"/>
    <n v="8.9"/>
    <n v="110"/>
    <s v="Raj Kumar"/>
    <n v="2024"/>
  </r>
  <r>
    <x v="78"/>
    <x v="0"/>
    <s v="Love Forever 1"/>
    <x v="11"/>
    <x v="0"/>
    <x v="6"/>
    <n v="7"/>
    <n v="0"/>
    <s v="Amit Roy"/>
    <n v="2024"/>
  </r>
  <r>
    <x v="79"/>
    <x v="0"/>
    <s v="Sky High 16"/>
    <x v="1"/>
    <x v="4"/>
    <x v="8"/>
    <n v="7.7"/>
    <n v="45"/>
    <s v="Sarah Kim"/>
    <n v="2016"/>
  </r>
  <r>
    <x v="80"/>
    <x v="0"/>
    <s v="Code X 1"/>
    <x v="4"/>
    <x v="2"/>
    <x v="7"/>
    <n v="6.9"/>
    <n v="135"/>
    <s v="unknown"/>
    <n v="2026"/>
  </r>
  <r>
    <x v="81"/>
    <x v="0"/>
    <s v="Lost World 11"/>
    <x v="9"/>
    <x v="3"/>
    <x v="10"/>
    <n v="0"/>
    <n v="0"/>
    <s v="Emily Clark"/>
    <n v="2016"/>
  </r>
  <r>
    <x v="82"/>
    <x v="0"/>
    <s v="Silent Night 3"/>
    <x v="6"/>
    <x v="2"/>
    <x v="1"/>
    <n v="6.8"/>
    <n v="90"/>
    <s v="unknown"/>
    <n v="2019"/>
  </r>
  <r>
    <x v="83"/>
    <x v="0"/>
    <s v="Silent Night 27"/>
    <x v="3"/>
    <x v="2"/>
    <x v="2"/>
    <n v="7.6"/>
    <n v="110"/>
    <s v="Raj Kumar"/>
    <n v="2016"/>
  </r>
  <r>
    <x v="84"/>
    <x v="0"/>
    <s v="Code X 26"/>
    <x v="4"/>
    <x v="2"/>
    <x v="0"/>
    <n v="5.6"/>
    <n v="100"/>
    <s v="Amit Roy"/>
    <n v="2026"/>
  </r>
  <r>
    <x v="85"/>
    <x v="0"/>
    <s v="Sky High 17"/>
    <x v="4"/>
    <x v="2"/>
    <x v="5"/>
    <n v="8.4"/>
    <n v="150"/>
    <s v="unknown"/>
    <n v="2025"/>
  </r>
  <r>
    <x v="86"/>
    <x v="0"/>
    <s v="Code X 29"/>
    <x v="17"/>
    <x v="1"/>
    <x v="3"/>
    <n v="6.7"/>
    <n v="0"/>
    <s v="Raj Kumar"/>
    <n v="2019"/>
  </r>
  <r>
    <x v="87"/>
    <x v="0"/>
    <s v="Dark City 28"/>
    <x v="10"/>
    <x v="0"/>
    <x v="2"/>
    <n v="7.9"/>
    <n v="100"/>
    <s v="unknown"/>
    <n v="2025"/>
  </r>
  <r>
    <x v="88"/>
    <x v="0"/>
    <s v="Hidden Truth 29"/>
    <x v="15"/>
    <x v="6"/>
    <x v="8"/>
    <n v="8.9"/>
    <n v="45"/>
    <s v="John Smith"/>
    <n v="2016"/>
  </r>
  <r>
    <x v="89"/>
    <x v="0"/>
    <s v="Ocean Blue 9"/>
    <x v="16"/>
    <x v="6"/>
    <x v="1"/>
    <n v="5.9"/>
    <n v="110"/>
    <s v="Raj Kumar"/>
    <n v="2025"/>
  </r>
  <r>
    <x v="90"/>
    <x v="1"/>
    <s v="Sky High 13"/>
    <x v="12"/>
    <x v="4"/>
    <x v="9"/>
    <n v="8.1999999999999993"/>
    <n v="110"/>
    <s v="David Lee"/>
    <n v="2020"/>
  </r>
  <r>
    <x v="91"/>
    <x v="0"/>
    <s v="Lost World 30"/>
    <x v="18"/>
    <x v="0"/>
    <x v="10"/>
    <n v="8.1999999999999993"/>
    <n v="60"/>
    <s v="Amit Roy"/>
    <n v="2022"/>
  </r>
  <r>
    <x v="92"/>
    <x v="1"/>
    <s v="Sky High 26"/>
    <x v="5"/>
    <x v="4"/>
    <x v="8"/>
    <n v="7.6"/>
    <n v="120"/>
    <s v="David Lee"/>
    <n v="2020"/>
  </r>
  <r>
    <x v="93"/>
    <x v="0"/>
    <s v="Love Forever 11"/>
    <x v="9"/>
    <x v="0"/>
    <x v="5"/>
    <n v="6.9"/>
    <n v="60"/>
    <s v="Emily Clark"/>
    <n v="2017"/>
  </r>
  <r>
    <x v="94"/>
    <x v="0"/>
    <s v="Ocean Blue 25"/>
    <x v="5"/>
    <x v="1"/>
    <x v="10"/>
    <n v="5.7"/>
    <n v="135"/>
    <s v="David Lee"/>
    <n v="2021"/>
  </r>
  <r>
    <x v="95"/>
    <x v="0"/>
    <s v="Lost World 17"/>
    <x v="1"/>
    <x v="0"/>
    <x v="5"/>
    <n v="8.1999999999999993"/>
    <n v="110"/>
    <s v="Emily Clark"/>
    <n v="2025"/>
  </r>
  <r>
    <x v="96"/>
    <x v="0"/>
    <s v="Lost World 22"/>
    <x v="11"/>
    <x v="0"/>
    <x v="0"/>
    <n v="6.4"/>
    <n v="135"/>
    <s v="Amit Roy"/>
    <n v="2017"/>
  </r>
  <r>
    <x v="97"/>
    <x v="1"/>
    <s v="Hidden Truth 18"/>
    <x v="17"/>
    <x v="3"/>
    <x v="4"/>
    <n v="7.7"/>
    <n v="150"/>
    <s v="Amit Roy"/>
    <n v="2018"/>
  </r>
  <r>
    <x v="98"/>
    <x v="0"/>
    <s v="Silent Night 26"/>
    <x v="21"/>
    <x v="6"/>
    <x v="6"/>
    <n v="9"/>
    <n v="60"/>
    <s v="unknown"/>
    <n v="2018"/>
  </r>
  <r>
    <x v="99"/>
    <x v="0"/>
    <s v="Sky High 12"/>
    <x v="5"/>
    <x v="6"/>
    <x v="2"/>
    <n v="8.9"/>
    <n v="90"/>
    <s v="Emily Clark"/>
    <n v="20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E64C6-E901-4A33-8A06-7E2C10D4F4B8}"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0:B133" firstHeaderRow="1" firstDataRow="1" firstDataCol="1"/>
  <pivotFields count="1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showAll="0"/>
    <pivotField axis="axisRow" showAll="0">
      <items count="23">
        <item x="17"/>
        <item x="19"/>
        <item x="15"/>
        <item x="14"/>
        <item x="12"/>
        <item x="2"/>
        <item x="21"/>
        <item x="16"/>
        <item x="4"/>
        <item x="13"/>
        <item x="0"/>
        <item x="18"/>
        <item x="3"/>
        <item x="11"/>
        <item x="20"/>
        <item x="8"/>
        <item x="10"/>
        <item x="1"/>
        <item x="6"/>
        <item x="5"/>
        <item x="9"/>
        <item x="7"/>
        <item t="default"/>
      </items>
    </pivotField>
    <pivotField showAll="0">
      <items count="8">
        <item x="1"/>
        <item x="2"/>
        <item x="3"/>
        <item x="6"/>
        <item x="5"/>
        <item x="4"/>
        <item x="0"/>
        <item t="default"/>
      </items>
    </pivotField>
    <pivotField showAll="0"/>
    <pivotField showAll="0"/>
    <pivotField dataField="1" showAll="0"/>
    <pivotField showAll="0"/>
    <pivotField showAll="0"/>
  </pivotFields>
  <rowFields count="1">
    <field x="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Duration" fld="7" subtotal="average" baseField="3" baseItem="0"/>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D9A923-B681-4C2F-9982-96B84BE6E209}"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8:B100"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showAll="0"/>
    <pivotField showAll="0"/>
    <pivotField showAll="0">
      <items count="8">
        <item x="1"/>
        <item x="2"/>
        <item x="3"/>
        <item x="6"/>
        <item x="5"/>
        <item x="4"/>
        <item x="0"/>
        <item t="default"/>
      </items>
    </pivotField>
    <pivotField axis="axisRow" showAll="0">
      <items count="12">
        <item x="9"/>
        <item x="1"/>
        <item x="3"/>
        <item x="2"/>
        <item x="4"/>
        <item x="6"/>
        <item x="7"/>
        <item x="0"/>
        <item x="10"/>
        <item x="8"/>
        <item x="5"/>
        <item t="default"/>
      </items>
    </pivotField>
    <pivotField showAll="0"/>
    <pivotField showAll="0"/>
    <pivotField showAll="0"/>
    <pivotField showAll="0"/>
  </pivotFields>
  <rowFields count="1">
    <field x="5"/>
  </rowFields>
  <rowItems count="12">
    <i>
      <x/>
    </i>
    <i>
      <x v="1"/>
    </i>
    <i>
      <x v="2"/>
    </i>
    <i>
      <x v="3"/>
    </i>
    <i>
      <x v="4"/>
    </i>
    <i>
      <x v="5"/>
    </i>
    <i>
      <x v="6"/>
    </i>
    <i>
      <x v="7"/>
    </i>
    <i>
      <x v="8"/>
    </i>
    <i>
      <x v="9"/>
    </i>
    <i>
      <x v="10"/>
    </i>
    <i t="grand">
      <x/>
    </i>
  </rowItems>
  <colItems count="1">
    <i/>
  </colItems>
  <dataFields count="1">
    <dataField name="Count of Show ID" fld="0" subtotal="count" baseField="0" baseItem="0"/>
  </dataFields>
  <formats count="6">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grandRow="1" outline="0" fieldPosition="0"/>
    </format>
    <format dxfId="6">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A127C8-5EA7-471D-9FF0-CBB99EBEE0FD}"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2:B85" firstHeaderRow="1" firstDataRow="1" firstDataCol="1"/>
  <pivotFields count="10">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showAll="0"/>
    <pivotField axis="axisRow" showAll="0">
      <items count="23">
        <item x="17"/>
        <item x="19"/>
        <item x="15"/>
        <item x="14"/>
        <item x="12"/>
        <item x="2"/>
        <item x="21"/>
        <item x="16"/>
        <item x="4"/>
        <item x="13"/>
        <item x="0"/>
        <item x="18"/>
        <item x="3"/>
        <item x="11"/>
        <item x="20"/>
        <item x="8"/>
        <item x="10"/>
        <item x="1"/>
        <item x="6"/>
        <item x="5"/>
        <item x="9"/>
        <item x="7"/>
        <item t="default"/>
      </items>
    </pivotField>
    <pivotField showAll="0">
      <items count="8">
        <item x="1"/>
        <item x="2"/>
        <item x="3"/>
        <item x="6"/>
        <item x="5"/>
        <item x="4"/>
        <item x="0"/>
        <item t="default"/>
      </items>
    </pivotField>
    <pivotField showAll="0"/>
    <pivotField dataField="1" showAll="0"/>
    <pivotField showAll="0"/>
    <pivotField showAll="0"/>
    <pivotField showAll="0"/>
  </pivotFields>
  <rowFields count="1">
    <field x="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Rating" fld="6" subtotal="average" baseField="3" baseItem="0"/>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5D8428-67F3-4123-BE45-4C3DCEF2872A}"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4:B52"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showAll="0"/>
    <pivotField showAll="0"/>
    <pivotField axis="axisRow" showAll="0">
      <items count="8">
        <item x="1"/>
        <item x="2"/>
        <item x="3"/>
        <item x="6"/>
        <item x="5"/>
        <item x="4"/>
        <item x="0"/>
        <item t="default"/>
      </items>
    </pivotField>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Count of Show ID" fld="0" subtotal="count" baseField="0" baseItem="0"/>
  </dataFields>
  <formats count="6">
    <format dxfId="23">
      <pivotArea type="all" dataOnly="0" outline="0" fieldPosition="0"/>
    </format>
    <format dxfId="22">
      <pivotArea outline="0" collapsedLevelsAreSubtotals="1" fieldPosition="0"/>
    </format>
    <format dxfId="21">
      <pivotArea field="4" type="button" dataOnly="0" labelOnly="1" outline="0" axis="axisRow" fieldPosition="0"/>
    </format>
    <format dxfId="20">
      <pivotArea dataOnly="0" labelOnly="1" fieldPosition="0">
        <references count="1">
          <reference field="4" count="0"/>
        </references>
      </pivotArea>
    </format>
    <format dxfId="19">
      <pivotArea dataOnly="0" labelOnly="1" grandRow="1" outline="0" fieldPosition="0"/>
    </format>
    <format dxfId="1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C2908B-566D-4446-8E75-F146F8394882}"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8:B41"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3">
        <item x="1"/>
        <item x="0"/>
        <item t="default"/>
      </items>
    </pivotField>
    <pivotField showAll="0"/>
    <pivotField axis="axisRow" showAll="0">
      <items count="23">
        <item x="17"/>
        <item x="19"/>
        <item x="15"/>
        <item x="14"/>
        <item x="12"/>
        <item x="2"/>
        <item x="21"/>
        <item x="16"/>
        <item x="4"/>
        <item x="13"/>
        <item x="0"/>
        <item x="18"/>
        <item x="3"/>
        <item x="11"/>
        <item x="20"/>
        <item x="8"/>
        <item x="10"/>
        <item x="1"/>
        <item x="6"/>
        <item x="5"/>
        <item x="9"/>
        <item x="7"/>
        <item t="default"/>
      </items>
    </pivotField>
    <pivotField showAll="0">
      <items count="8">
        <item x="1"/>
        <item x="2"/>
        <item x="3"/>
        <item x="6"/>
        <item x="5"/>
        <item x="4"/>
        <item x="0"/>
        <item t="default"/>
      </items>
    </pivotField>
    <pivotField showAll="0"/>
    <pivotField showAll="0"/>
    <pivotField showAll="0"/>
    <pivotField showAll="0"/>
    <pivotField showAll="0"/>
  </pivotFields>
  <rowFields count="1">
    <field x="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Show ID" fld="0" subtotal="count" baseField="0" baseItem="0"/>
  </dataFields>
  <formats count="6">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84CFD9-7E54-40EB-A146-21DEE66F1C7A}"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4"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3">
        <item x="1"/>
        <item x="0"/>
        <item t="default"/>
      </items>
    </pivotField>
    <pivotField showAll="0"/>
    <pivotField showAll="0"/>
    <pivotField showAll="0">
      <items count="8">
        <item x="1"/>
        <item x="2"/>
        <item x="3"/>
        <item x="6"/>
        <item x="5"/>
        <item x="4"/>
        <item x="0"/>
        <item t="default"/>
      </items>
    </pivotField>
    <pivotField showAll="0"/>
    <pivotField showAll="0"/>
    <pivotField showAll="0"/>
    <pivotField showAll="0"/>
    <pivotField showAll="0"/>
  </pivotFields>
  <rowFields count="1">
    <field x="1"/>
  </rowFields>
  <rowItems count="3">
    <i>
      <x/>
    </i>
    <i>
      <x v="1"/>
    </i>
    <i t="grand">
      <x/>
    </i>
  </rowItems>
  <colItems count="1">
    <i/>
  </colItems>
  <dataFields count="1">
    <dataField name="Count of Show ID" fld="0" subtotal="count" baseField="0" baseItem="0"/>
  </dataFields>
  <formats count="6">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axis="axisValues" fieldPosition="0"/>
    </format>
  </formats>
  <chartFormats count="4">
    <chartFormat chart="0"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 chart="7" format="8">
      <pivotArea type="data" outline="0" fieldPosition="0">
        <references count="2">
          <reference field="4294967294" count="1" selected="0">
            <x v="0"/>
          </reference>
          <reference field="1"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B8FE79A7-ECC2-49B2-951D-95E747AD603C}" sourceName="Typ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1398F6EB-48C0-4935-AA87-B25B664CA46D}" sourceName="Genre">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E514C68-422A-432B-B302-B22C1DCEDB5D}" sourceName="Country">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2DB7FA73-083C-4B0D-852A-64863171943A}" sourceName="Release Yea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AB7B5B4D-0DA6-49BF-B848-9EE3A6B92008}" cache="Slicer_Type" caption="Type" style="SlicerStyleLight2" rowHeight="234950"/>
  <slicer name="Genre 1" xr10:uid="{5C098B8A-FB79-4ED8-B067-92AAF6315ED4}" cache="Slicer_Genre" caption="Genre" style="SlicerStyleLight2" rowHeight="234950"/>
  <slicer name="Country 1" xr10:uid="{112D3C53-6383-4552-AA56-E84A38228574}" cache="Slicer_Country" caption="Country" style="SlicerStyleLight2" rowHeight="234950"/>
  <slicer name="Release Year 1" xr10:uid="{FE4B7D9A-A8D3-4F86-9ECD-79B5699791E5}" cache="Slicer_Release_Year" caption="Release Year" startItem="3"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54B000-CE58-49DE-AC37-5B642E92B8D4}" name="Table1" displayName="Table1" ref="A1:J102" totalsRowCount="1">
  <autoFilter ref="A1:J101" xr:uid="{C254B000-CE58-49DE-AC37-5B642E92B8D4}"/>
  <tableColumns count="10">
    <tableColumn id="1" xr3:uid="{A6CC642B-1884-409E-AC4A-3AC386C188F7}" name="Show ID"/>
    <tableColumn id="2" xr3:uid="{301664B6-956E-46C8-8468-EC111EBFEA4D}" name="Type" totalsRowFunction="custom">
      <totalsRowFormula>COUNTIF(B2:B101,"Movie")</totalsRowFormula>
    </tableColumn>
    <tableColumn id="3" xr3:uid="{C9C2C11E-AA7F-4B55-BEFF-DD7605D6221A}" name="Title"/>
    <tableColumn id="4" xr3:uid="{E67D431F-AF73-4083-9306-94FF0F3F21E6}" name="Genre" totalsRowFunction="custom">
      <totalsRowFormula>COUNTA(_xlfn.UNIQUE(D2:D101))</totalsRowFormula>
    </tableColumn>
    <tableColumn id="5" xr3:uid="{E68CE131-D684-4FD8-BEE6-C96B45721F18}" name="Country" totalsRowFunction="custom">
      <totalsRowFormula>COUNTA(_xlfn.UNIQUE(E2:E101))</totalsRowFormula>
    </tableColumn>
    <tableColumn id="6" xr3:uid="{1B662FEA-FE28-4CAB-906C-AB27B3626783}" name="Release Year"/>
    <tableColumn id="7" xr3:uid="{26D76ED9-9012-41DC-B432-323E0A53E69F}" name="Rating"/>
    <tableColumn id="8" xr3:uid="{E5A13046-0D7D-4D32-BF1F-B43286D6A49A}" name="Duration"/>
    <tableColumn id="9" xr3:uid="{CC40E87A-2D12-4475-AFC4-B7346F95A531}" name="Director"/>
    <tableColumn id="10" xr3:uid="{882D47C3-78DD-48D2-BF74-9C96E92B073C}" name="Added Year"/>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4FB18-B440-4842-B35B-D3CFF3517554}">
  <dimension ref="A1:J101"/>
  <sheetViews>
    <sheetView topLeftCell="A85" workbookViewId="0">
      <selection activeCell="E102" sqref="E102"/>
    </sheetView>
  </sheetViews>
  <sheetFormatPr defaultRowHeight="14.4" x14ac:dyDescent="0.3"/>
  <cols>
    <col min="1" max="1" width="7.6640625" bestFit="1" customWidth="1"/>
    <col min="2" max="2" width="8" bestFit="1" customWidth="1"/>
    <col min="3" max="3" width="14.109375" bestFit="1" customWidth="1"/>
    <col min="4" max="4" width="12.44140625" bestFit="1" customWidth="1"/>
    <col min="5" max="5" width="14" bestFit="1" customWidth="1"/>
    <col min="6" max="6" width="11.44140625" bestFit="1" customWidth="1"/>
    <col min="7" max="7" width="6.109375" bestFit="1" customWidth="1"/>
    <col min="8" max="8" width="8.109375" bestFit="1" customWidth="1"/>
    <col min="9" max="9" width="9.88671875" bestFit="1" customWidth="1"/>
    <col min="10" max="10" width="10.218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v>2022</v>
      </c>
      <c r="G2">
        <v>7.7</v>
      </c>
      <c r="H2">
        <v>150</v>
      </c>
      <c r="I2" t="s">
        <v>15</v>
      </c>
      <c r="J2">
        <v>2016</v>
      </c>
    </row>
    <row r="3" spans="1:10" x14ac:dyDescent="0.3">
      <c r="A3" t="s">
        <v>16</v>
      </c>
      <c r="B3" t="s">
        <v>17</v>
      </c>
      <c r="C3" t="s">
        <v>18</v>
      </c>
      <c r="D3" t="s">
        <v>19</v>
      </c>
      <c r="E3" t="s">
        <v>20</v>
      </c>
      <c r="F3">
        <v>2016</v>
      </c>
      <c r="G3">
        <v>6.5</v>
      </c>
      <c r="H3">
        <v>135</v>
      </c>
      <c r="I3" t="s">
        <v>21</v>
      </c>
      <c r="J3">
        <v>2019</v>
      </c>
    </row>
    <row r="4" spans="1:10" x14ac:dyDescent="0.3">
      <c r="A4" t="s">
        <v>22</v>
      </c>
      <c r="B4" t="s">
        <v>23</v>
      </c>
      <c r="C4" t="s">
        <v>24</v>
      </c>
      <c r="D4" t="s">
        <v>25</v>
      </c>
      <c r="E4" t="s">
        <v>26</v>
      </c>
      <c r="F4">
        <v>2018</v>
      </c>
      <c r="G4">
        <v>8.1</v>
      </c>
      <c r="H4">
        <v>90</v>
      </c>
      <c r="J4">
        <v>2022</v>
      </c>
    </row>
    <row r="5" spans="1:10" x14ac:dyDescent="0.3">
      <c r="A5" t="s">
        <v>27</v>
      </c>
      <c r="B5" t="s">
        <v>17</v>
      </c>
      <c r="C5" t="s">
        <v>28</v>
      </c>
      <c r="D5" t="s">
        <v>29</v>
      </c>
      <c r="E5" t="s">
        <v>26</v>
      </c>
      <c r="F5">
        <v>2017</v>
      </c>
      <c r="H5">
        <v>100</v>
      </c>
      <c r="I5" t="s">
        <v>30</v>
      </c>
      <c r="J5">
        <v>2021</v>
      </c>
    </row>
    <row r="6" spans="1:10" x14ac:dyDescent="0.3">
      <c r="A6" t="s">
        <v>31</v>
      </c>
      <c r="B6" t="s">
        <v>23</v>
      </c>
      <c r="C6" t="s">
        <v>32</v>
      </c>
      <c r="D6" t="s">
        <v>33</v>
      </c>
      <c r="E6" t="s">
        <v>34</v>
      </c>
      <c r="F6">
        <v>2022</v>
      </c>
      <c r="G6">
        <v>9.1999999999999993</v>
      </c>
      <c r="H6">
        <v>90</v>
      </c>
      <c r="J6">
        <v>2023</v>
      </c>
    </row>
    <row r="7" spans="1:10" x14ac:dyDescent="0.3">
      <c r="A7" t="s">
        <v>35</v>
      </c>
      <c r="B7" t="s">
        <v>17</v>
      </c>
      <c r="C7" t="s">
        <v>36</v>
      </c>
      <c r="D7" t="s">
        <v>37</v>
      </c>
      <c r="E7" t="s">
        <v>38</v>
      </c>
      <c r="F7">
        <v>2019</v>
      </c>
      <c r="G7">
        <v>7.5</v>
      </c>
      <c r="H7">
        <v>90</v>
      </c>
      <c r="J7">
        <v>2019</v>
      </c>
    </row>
    <row r="8" spans="1:10" x14ac:dyDescent="0.3">
      <c r="A8" t="s">
        <v>39</v>
      </c>
      <c r="B8" t="s">
        <v>17</v>
      </c>
      <c r="C8" t="s">
        <v>40</v>
      </c>
      <c r="D8" t="s">
        <v>33</v>
      </c>
      <c r="E8" t="s">
        <v>20</v>
      </c>
      <c r="F8">
        <v>2025</v>
      </c>
      <c r="G8">
        <v>6.3</v>
      </c>
      <c r="H8">
        <v>110</v>
      </c>
      <c r="I8" t="s">
        <v>15</v>
      </c>
      <c r="J8">
        <v>2026</v>
      </c>
    </row>
    <row r="9" spans="1:10" x14ac:dyDescent="0.3">
      <c r="A9" t="s">
        <v>41</v>
      </c>
      <c r="B9" t="s">
        <v>11</v>
      </c>
      <c r="C9" t="s">
        <v>42</v>
      </c>
      <c r="D9" t="s">
        <v>43</v>
      </c>
      <c r="E9" t="s">
        <v>44</v>
      </c>
      <c r="F9">
        <v>2016</v>
      </c>
      <c r="H9">
        <v>50</v>
      </c>
      <c r="J9">
        <v>2019</v>
      </c>
    </row>
    <row r="10" spans="1:10" x14ac:dyDescent="0.3">
      <c r="A10" t="s">
        <v>45</v>
      </c>
      <c r="B10" t="s">
        <v>23</v>
      </c>
      <c r="C10" t="s">
        <v>46</v>
      </c>
      <c r="D10" t="s">
        <v>47</v>
      </c>
      <c r="E10" t="s">
        <v>20</v>
      </c>
      <c r="F10">
        <v>2020</v>
      </c>
      <c r="G10">
        <v>7.1</v>
      </c>
      <c r="H10">
        <v>45</v>
      </c>
      <c r="I10" t="s">
        <v>48</v>
      </c>
      <c r="J10">
        <v>2019</v>
      </c>
    </row>
    <row r="11" spans="1:10" x14ac:dyDescent="0.3">
      <c r="A11" t="s">
        <v>49</v>
      </c>
      <c r="B11" t="s">
        <v>11</v>
      </c>
      <c r="C11" t="s">
        <v>50</v>
      </c>
      <c r="D11" t="s">
        <v>51</v>
      </c>
      <c r="E11" t="s">
        <v>52</v>
      </c>
      <c r="F11">
        <v>2021</v>
      </c>
      <c r="G11">
        <v>6.3</v>
      </c>
      <c r="H11">
        <v>45</v>
      </c>
      <c r="I11" t="s">
        <v>30</v>
      </c>
      <c r="J11">
        <v>2017</v>
      </c>
    </row>
    <row r="12" spans="1:10" x14ac:dyDescent="0.3">
      <c r="A12" t="s">
        <v>53</v>
      </c>
      <c r="B12" t="s">
        <v>23</v>
      </c>
      <c r="C12" t="s">
        <v>54</v>
      </c>
      <c r="D12" t="s">
        <v>55</v>
      </c>
      <c r="E12" t="s">
        <v>52</v>
      </c>
      <c r="F12">
        <v>2020</v>
      </c>
      <c r="G12">
        <v>7</v>
      </c>
      <c r="H12">
        <v>60</v>
      </c>
      <c r="I12" t="s">
        <v>48</v>
      </c>
      <c r="J12">
        <v>2026</v>
      </c>
    </row>
    <row r="13" spans="1:10" x14ac:dyDescent="0.3">
      <c r="A13" t="s">
        <v>56</v>
      </c>
      <c r="B13" t="s">
        <v>11</v>
      </c>
      <c r="C13" t="s">
        <v>57</v>
      </c>
      <c r="D13" t="s">
        <v>58</v>
      </c>
      <c r="E13" t="s">
        <v>59</v>
      </c>
      <c r="F13">
        <v>2024</v>
      </c>
      <c r="G13">
        <v>7</v>
      </c>
      <c r="H13">
        <v>60</v>
      </c>
      <c r="I13" t="s">
        <v>15</v>
      </c>
      <c r="J13">
        <v>2016</v>
      </c>
    </row>
    <row r="14" spans="1:10" x14ac:dyDescent="0.3">
      <c r="A14" t="s">
        <v>60</v>
      </c>
      <c r="B14" t="s">
        <v>17</v>
      </c>
      <c r="C14" t="s">
        <v>61</v>
      </c>
      <c r="D14" t="s">
        <v>62</v>
      </c>
      <c r="E14" t="s">
        <v>59</v>
      </c>
      <c r="F14">
        <v>2015</v>
      </c>
      <c r="G14">
        <v>6.8</v>
      </c>
      <c r="H14">
        <v>120</v>
      </c>
      <c r="J14">
        <v>2020</v>
      </c>
    </row>
    <row r="15" spans="1:10" x14ac:dyDescent="0.3">
      <c r="A15" t="s">
        <v>63</v>
      </c>
      <c r="B15" t="s">
        <v>64</v>
      </c>
      <c r="C15" t="s">
        <v>32</v>
      </c>
      <c r="D15" t="s">
        <v>37</v>
      </c>
      <c r="E15" t="s">
        <v>44</v>
      </c>
      <c r="F15">
        <v>2016</v>
      </c>
      <c r="G15">
        <v>7.8</v>
      </c>
      <c r="H15">
        <v>45</v>
      </c>
      <c r="J15">
        <v>2017</v>
      </c>
    </row>
    <row r="16" spans="1:10" x14ac:dyDescent="0.3">
      <c r="A16" t="s">
        <v>65</v>
      </c>
      <c r="B16" t="s">
        <v>17</v>
      </c>
      <c r="C16" t="s">
        <v>66</v>
      </c>
      <c r="D16" t="s">
        <v>55</v>
      </c>
      <c r="E16" t="s">
        <v>20</v>
      </c>
      <c r="F16">
        <v>2025</v>
      </c>
      <c r="G16">
        <v>5.9</v>
      </c>
      <c r="H16">
        <v>150</v>
      </c>
      <c r="J16">
        <v>2019</v>
      </c>
    </row>
    <row r="17" spans="1:10" x14ac:dyDescent="0.3">
      <c r="A17" t="s">
        <v>67</v>
      </c>
      <c r="B17" t="s">
        <v>17</v>
      </c>
      <c r="C17" t="s">
        <v>68</v>
      </c>
      <c r="D17" t="s">
        <v>37</v>
      </c>
      <c r="E17" t="s">
        <v>38</v>
      </c>
      <c r="F17">
        <v>2023</v>
      </c>
      <c r="G17">
        <v>7.7</v>
      </c>
      <c r="H17">
        <v>120</v>
      </c>
      <c r="I17" t="s">
        <v>30</v>
      </c>
      <c r="J17">
        <v>2023</v>
      </c>
    </row>
    <row r="18" spans="1:10" x14ac:dyDescent="0.3">
      <c r="A18" t="s">
        <v>69</v>
      </c>
      <c r="B18" t="s">
        <v>11</v>
      </c>
      <c r="C18" t="s">
        <v>70</v>
      </c>
      <c r="D18" t="s">
        <v>51</v>
      </c>
      <c r="E18" t="s">
        <v>34</v>
      </c>
      <c r="F18">
        <v>2016</v>
      </c>
      <c r="G18">
        <v>6.8</v>
      </c>
      <c r="H18">
        <v>135</v>
      </c>
      <c r="I18" t="s">
        <v>30</v>
      </c>
      <c r="J18">
        <v>2021</v>
      </c>
    </row>
    <row r="19" spans="1:10" x14ac:dyDescent="0.3">
      <c r="A19" t="s">
        <v>71</v>
      </c>
      <c r="B19" t="s">
        <v>17</v>
      </c>
      <c r="C19" t="s">
        <v>72</v>
      </c>
      <c r="D19" t="s">
        <v>13</v>
      </c>
      <c r="E19" t="s">
        <v>14</v>
      </c>
      <c r="F19">
        <v>2024</v>
      </c>
      <c r="G19">
        <v>6.8</v>
      </c>
      <c r="H19">
        <v>100</v>
      </c>
      <c r="J19">
        <v>2024</v>
      </c>
    </row>
    <row r="20" spans="1:10" x14ac:dyDescent="0.3">
      <c r="A20" t="s">
        <v>73</v>
      </c>
      <c r="B20" t="s">
        <v>17</v>
      </c>
      <c r="C20" t="s">
        <v>74</v>
      </c>
      <c r="D20" t="s">
        <v>75</v>
      </c>
      <c r="E20" t="s">
        <v>20</v>
      </c>
      <c r="F20">
        <v>2019</v>
      </c>
      <c r="G20">
        <v>6.7</v>
      </c>
      <c r="H20">
        <v>150</v>
      </c>
      <c r="I20" t="s">
        <v>76</v>
      </c>
      <c r="J20">
        <v>2021</v>
      </c>
    </row>
    <row r="21" spans="1:10" x14ac:dyDescent="0.3">
      <c r="A21" t="s">
        <v>77</v>
      </c>
      <c r="B21" t="s">
        <v>64</v>
      </c>
      <c r="C21" t="s">
        <v>78</v>
      </c>
      <c r="D21" t="s">
        <v>62</v>
      </c>
      <c r="E21" t="s">
        <v>14</v>
      </c>
      <c r="F21">
        <v>2015</v>
      </c>
      <c r="G21">
        <v>7.1</v>
      </c>
      <c r="H21">
        <v>110</v>
      </c>
      <c r="I21" t="s">
        <v>79</v>
      </c>
      <c r="J21">
        <v>2026</v>
      </c>
    </row>
    <row r="22" spans="1:10" x14ac:dyDescent="0.3">
      <c r="A22" t="s">
        <v>80</v>
      </c>
      <c r="B22" t="s">
        <v>64</v>
      </c>
      <c r="C22" t="s">
        <v>81</v>
      </c>
      <c r="D22" t="s">
        <v>82</v>
      </c>
      <c r="E22" t="s">
        <v>59</v>
      </c>
      <c r="F22">
        <v>2021</v>
      </c>
      <c r="G22">
        <v>7.1</v>
      </c>
      <c r="H22">
        <v>50</v>
      </c>
      <c r="I22" t="s">
        <v>76</v>
      </c>
      <c r="J22">
        <v>2019</v>
      </c>
    </row>
    <row r="23" spans="1:10" x14ac:dyDescent="0.3">
      <c r="A23" t="s">
        <v>83</v>
      </c>
      <c r="B23" t="s">
        <v>17</v>
      </c>
      <c r="C23" t="s">
        <v>84</v>
      </c>
      <c r="D23" t="s">
        <v>55</v>
      </c>
      <c r="E23" t="s">
        <v>85</v>
      </c>
      <c r="F23">
        <v>2020</v>
      </c>
      <c r="H23">
        <v>120</v>
      </c>
      <c r="J23">
        <v>2019</v>
      </c>
    </row>
    <row r="24" spans="1:10" x14ac:dyDescent="0.3">
      <c r="A24" t="s">
        <v>86</v>
      </c>
      <c r="B24" t="s">
        <v>11</v>
      </c>
      <c r="C24" t="s">
        <v>87</v>
      </c>
      <c r="D24" t="s">
        <v>37</v>
      </c>
      <c r="E24" t="s">
        <v>14</v>
      </c>
      <c r="F24">
        <v>2023</v>
      </c>
      <c r="G24">
        <v>7.9</v>
      </c>
      <c r="H24">
        <v>90</v>
      </c>
      <c r="I24" t="s">
        <v>21</v>
      </c>
      <c r="J24">
        <v>2020</v>
      </c>
    </row>
    <row r="25" spans="1:10" x14ac:dyDescent="0.3">
      <c r="A25" t="s">
        <v>88</v>
      </c>
      <c r="B25" t="s">
        <v>23</v>
      </c>
      <c r="C25" t="s">
        <v>89</v>
      </c>
      <c r="D25" t="s">
        <v>51</v>
      </c>
      <c r="E25" t="s">
        <v>14</v>
      </c>
      <c r="F25">
        <v>2016</v>
      </c>
      <c r="G25">
        <v>7.1</v>
      </c>
      <c r="H25">
        <v>60</v>
      </c>
      <c r="J25">
        <v>2018</v>
      </c>
    </row>
    <row r="26" spans="1:10" x14ac:dyDescent="0.3">
      <c r="A26" t="s">
        <v>90</v>
      </c>
      <c r="B26" t="s">
        <v>64</v>
      </c>
      <c r="C26" t="s">
        <v>70</v>
      </c>
      <c r="D26" t="s">
        <v>33</v>
      </c>
      <c r="E26" t="s">
        <v>59</v>
      </c>
      <c r="F26">
        <v>2024</v>
      </c>
      <c r="G26">
        <v>6.6</v>
      </c>
      <c r="H26">
        <v>60</v>
      </c>
      <c r="I26" t="s">
        <v>79</v>
      </c>
      <c r="J26">
        <v>2026</v>
      </c>
    </row>
    <row r="27" spans="1:10" x14ac:dyDescent="0.3">
      <c r="A27" t="s">
        <v>91</v>
      </c>
      <c r="B27" t="s">
        <v>23</v>
      </c>
      <c r="C27" t="s">
        <v>92</v>
      </c>
      <c r="D27" t="s">
        <v>62</v>
      </c>
      <c r="E27" t="s">
        <v>44</v>
      </c>
      <c r="F27">
        <v>2016</v>
      </c>
      <c r="G27">
        <v>7.5</v>
      </c>
      <c r="H27">
        <v>50</v>
      </c>
      <c r="I27" t="s">
        <v>21</v>
      </c>
      <c r="J27">
        <v>2016</v>
      </c>
    </row>
    <row r="28" spans="1:10" x14ac:dyDescent="0.3">
      <c r="A28" t="s">
        <v>93</v>
      </c>
      <c r="B28" t="s">
        <v>17</v>
      </c>
      <c r="C28" t="s">
        <v>94</v>
      </c>
      <c r="D28" t="s">
        <v>13</v>
      </c>
      <c r="E28" t="s">
        <v>85</v>
      </c>
      <c r="F28">
        <v>2022</v>
      </c>
      <c r="H28">
        <v>150</v>
      </c>
      <c r="I28" t="s">
        <v>48</v>
      </c>
      <c r="J28">
        <v>2018</v>
      </c>
    </row>
    <row r="29" spans="1:10" x14ac:dyDescent="0.3">
      <c r="A29" t="s">
        <v>95</v>
      </c>
      <c r="B29" t="s">
        <v>23</v>
      </c>
      <c r="C29" t="s">
        <v>96</v>
      </c>
      <c r="D29" t="s">
        <v>13</v>
      </c>
      <c r="E29" t="s">
        <v>34</v>
      </c>
      <c r="F29">
        <v>2022</v>
      </c>
      <c r="G29">
        <v>8.6</v>
      </c>
      <c r="H29">
        <v>45</v>
      </c>
      <c r="I29" t="s">
        <v>21</v>
      </c>
      <c r="J29">
        <v>2022</v>
      </c>
    </row>
    <row r="30" spans="1:10" x14ac:dyDescent="0.3">
      <c r="A30" t="s">
        <v>97</v>
      </c>
      <c r="B30" t="s">
        <v>64</v>
      </c>
      <c r="C30" t="s">
        <v>98</v>
      </c>
      <c r="D30" t="s">
        <v>47</v>
      </c>
      <c r="E30" t="s">
        <v>44</v>
      </c>
      <c r="F30">
        <v>2024</v>
      </c>
      <c r="G30">
        <v>8.6999999999999993</v>
      </c>
      <c r="H30">
        <v>150</v>
      </c>
      <c r="I30" t="s">
        <v>48</v>
      </c>
      <c r="J30">
        <v>2026</v>
      </c>
    </row>
    <row r="31" spans="1:10" x14ac:dyDescent="0.3">
      <c r="A31" t="s">
        <v>99</v>
      </c>
      <c r="B31" t="s">
        <v>23</v>
      </c>
      <c r="C31" t="s">
        <v>100</v>
      </c>
      <c r="D31" t="s">
        <v>33</v>
      </c>
      <c r="E31" t="s">
        <v>34</v>
      </c>
      <c r="F31">
        <v>2018</v>
      </c>
      <c r="G31">
        <v>6.4</v>
      </c>
      <c r="H31">
        <v>150</v>
      </c>
      <c r="I31" t="s">
        <v>79</v>
      </c>
      <c r="J31">
        <v>2026</v>
      </c>
    </row>
    <row r="32" spans="1:10" x14ac:dyDescent="0.3">
      <c r="A32" t="s">
        <v>101</v>
      </c>
      <c r="B32" t="s">
        <v>64</v>
      </c>
      <c r="C32" t="s">
        <v>102</v>
      </c>
      <c r="D32" t="s">
        <v>51</v>
      </c>
      <c r="E32" t="s">
        <v>34</v>
      </c>
      <c r="F32">
        <v>2018</v>
      </c>
      <c r="G32">
        <v>9.1999999999999993</v>
      </c>
      <c r="H32">
        <v>150</v>
      </c>
      <c r="I32" t="s">
        <v>30</v>
      </c>
      <c r="J32">
        <v>2025</v>
      </c>
    </row>
    <row r="33" spans="1:10" x14ac:dyDescent="0.3">
      <c r="A33" t="s">
        <v>103</v>
      </c>
      <c r="B33" t="s">
        <v>23</v>
      </c>
      <c r="C33" t="s">
        <v>104</v>
      </c>
      <c r="D33" t="s">
        <v>105</v>
      </c>
      <c r="E33" t="s">
        <v>59</v>
      </c>
      <c r="F33">
        <v>2019</v>
      </c>
      <c r="G33">
        <v>7.1</v>
      </c>
      <c r="H33">
        <v>120</v>
      </c>
      <c r="I33" t="s">
        <v>15</v>
      </c>
      <c r="J33">
        <v>2016</v>
      </c>
    </row>
    <row r="34" spans="1:10" x14ac:dyDescent="0.3">
      <c r="A34" t="s">
        <v>106</v>
      </c>
      <c r="B34" t="s">
        <v>64</v>
      </c>
      <c r="C34" t="s">
        <v>107</v>
      </c>
      <c r="D34" t="s">
        <v>62</v>
      </c>
      <c r="E34" t="s">
        <v>85</v>
      </c>
      <c r="F34">
        <v>2025</v>
      </c>
      <c r="G34">
        <v>6.1</v>
      </c>
      <c r="H34">
        <v>150</v>
      </c>
      <c r="I34" t="s">
        <v>21</v>
      </c>
      <c r="J34">
        <v>2024</v>
      </c>
    </row>
    <row r="35" spans="1:10" x14ac:dyDescent="0.3">
      <c r="A35" t="s">
        <v>108</v>
      </c>
      <c r="B35" t="s">
        <v>23</v>
      </c>
      <c r="C35" t="s">
        <v>109</v>
      </c>
      <c r="D35" t="s">
        <v>33</v>
      </c>
      <c r="E35" t="s">
        <v>52</v>
      </c>
      <c r="F35">
        <v>2024</v>
      </c>
      <c r="G35">
        <v>8.4</v>
      </c>
      <c r="H35">
        <v>110</v>
      </c>
      <c r="I35" t="s">
        <v>15</v>
      </c>
      <c r="J35">
        <v>2023</v>
      </c>
    </row>
    <row r="36" spans="1:10" x14ac:dyDescent="0.3">
      <c r="A36" t="s">
        <v>110</v>
      </c>
      <c r="B36" t="s">
        <v>11</v>
      </c>
      <c r="C36" t="s">
        <v>111</v>
      </c>
      <c r="D36" t="s">
        <v>29</v>
      </c>
      <c r="E36" t="s">
        <v>85</v>
      </c>
      <c r="F36">
        <v>2025</v>
      </c>
      <c r="G36">
        <v>9.4</v>
      </c>
      <c r="H36">
        <v>50</v>
      </c>
      <c r="J36">
        <v>2026</v>
      </c>
    </row>
    <row r="37" spans="1:10" x14ac:dyDescent="0.3">
      <c r="A37" t="s">
        <v>112</v>
      </c>
      <c r="B37" t="s">
        <v>17</v>
      </c>
      <c r="C37" t="s">
        <v>113</v>
      </c>
      <c r="D37" t="s">
        <v>58</v>
      </c>
      <c r="E37" t="s">
        <v>52</v>
      </c>
      <c r="F37">
        <v>2019</v>
      </c>
      <c r="G37">
        <v>9.1</v>
      </c>
      <c r="H37">
        <v>135</v>
      </c>
      <c r="I37" t="s">
        <v>21</v>
      </c>
      <c r="J37">
        <v>2023</v>
      </c>
    </row>
    <row r="38" spans="1:10" x14ac:dyDescent="0.3">
      <c r="A38" t="s">
        <v>114</v>
      </c>
      <c r="B38" t="s">
        <v>23</v>
      </c>
      <c r="C38" t="s">
        <v>115</v>
      </c>
      <c r="D38" t="s">
        <v>55</v>
      </c>
      <c r="E38" t="s">
        <v>52</v>
      </c>
      <c r="F38">
        <v>2021</v>
      </c>
      <c r="G38">
        <v>6.1</v>
      </c>
      <c r="H38">
        <v>60</v>
      </c>
      <c r="I38" t="s">
        <v>48</v>
      </c>
      <c r="J38">
        <v>2026</v>
      </c>
    </row>
    <row r="39" spans="1:10" x14ac:dyDescent="0.3">
      <c r="A39" t="s">
        <v>116</v>
      </c>
      <c r="B39" t="s">
        <v>23</v>
      </c>
      <c r="C39" t="s">
        <v>117</v>
      </c>
      <c r="D39" t="s">
        <v>29</v>
      </c>
      <c r="E39" t="s">
        <v>20</v>
      </c>
      <c r="F39">
        <v>2016</v>
      </c>
      <c r="G39">
        <v>6.3</v>
      </c>
      <c r="H39">
        <v>45</v>
      </c>
      <c r="I39" t="s">
        <v>76</v>
      </c>
      <c r="J39">
        <v>2019</v>
      </c>
    </row>
    <row r="40" spans="1:10" x14ac:dyDescent="0.3">
      <c r="A40" t="s">
        <v>118</v>
      </c>
      <c r="B40" t="s">
        <v>23</v>
      </c>
      <c r="C40" t="s">
        <v>119</v>
      </c>
      <c r="D40" t="s">
        <v>37</v>
      </c>
      <c r="E40" t="s">
        <v>85</v>
      </c>
      <c r="F40">
        <v>2020</v>
      </c>
      <c r="G40">
        <v>8.6999999999999993</v>
      </c>
      <c r="H40">
        <v>45</v>
      </c>
      <c r="J40">
        <v>2026</v>
      </c>
    </row>
    <row r="41" spans="1:10" x14ac:dyDescent="0.3">
      <c r="A41" t="s">
        <v>120</v>
      </c>
      <c r="B41" t="s">
        <v>23</v>
      </c>
      <c r="C41" t="s">
        <v>121</v>
      </c>
      <c r="D41" t="s">
        <v>47</v>
      </c>
      <c r="E41" t="s">
        <v>44</v>
      </c>
      <c r="F41">
        <v>2023</v>
      </c>
      <c r="H41">
        <v>60</v>
      </c>
      <c r="I41" t="s">
        <v>48</v>
      </c>
      <c r="J41">
        <v>2024</v>
      </c>
    </row>
    <row r="42" spans="1:10" x14ac:dyDescent="0.3">
      <c r="A42" t="s">
        <v>122</v>
      </c>
      <c r="B42" t="s">
        <v>17</v>
      </c>
      <c r="C42" t="s">
        <v>123</v>
      </c>
      <c r="D42" t="s">
        <v>29</v>
      </c>
      <c r="E42" t="s">
        <v>26</v>
      </c>
      <c r="F42">
        <v>2016</v>
      </c>
      <c r="G42">
        <v>5.6</v>
      </c>
      <c r="H42">
        <v>150</v>
      </c>
      <c r="J42">
        <v>2016</v>
      </c>
    </row>
    <row r="43" spans="1:10" x14ac:dyDescent="0.3">
      <c r="A43" t="s">
        <v>124</v>
      </c>
      <c r="B43" t="s">
        <v>64</v>
      </c>
      <c r="C43" t="s">
        <v>125</v>
      </c>
      <c r="D43" t="s">
        <v>126</v>
      </c>
      <c r="E43" t="s">
        <v>14</v>
      </c>
      <c r="F43">
        <v>2018</v>
      </c>
      <c r="G43">
        <v>6.5</v>
      </c>
      <c r="H43">
        <v>50</v>
      </c>
      <c r="I43" t="s">
        <v>21</v>
      </c>
      <c r="J43">
        <v>2023</v>
      </c>
    </row>
    <row r="44" spans="1:10" x14ac:dyDescent="0.3">
      <c r="A44" t="s">
        <v>127</v>
      </c>
      <c r="B44" t="s">
        <v>11</v>
      </c>
      <c r="C44" t="s">
        <v>18</v>
      </c>
      <c r="D44" t="s">
        <v>55</v>
      </c>
      <c r="E44" t="s">
        <v>14</v>
      </c>
      <c r="F44">
        <v>2017</v>
      </c>
      <c r="H44">
        <v>60</v>
      </c>
      <c r="I44" t="s">
        <v>76</v>
      </c>
      <c r="J44">
        <v>2016</v>
      </c>
    </row>
    <row r="45" spans="1:10" x14ac:dyDescent="0.3">
      <c r="A45" t="s">
        <v>128</v>
      </c>
      <c r="B45" t="s">
        <v>11</v>
      </c>
      <c r="C45" t="s">
        <v>129</v>
      </c>
      <c r="D45" t="s">
        <v>130</v>
      </c>
      <c r="E45" t="s">
        <v>38</v>
      </c>
      <c r="F45">
        <v>2017</v>
      </c>
      <c r="G45">
        <v>5.9</v>
      </c>
      <c r="H45">
        <v>50</v>
      </c>
      <c r="I45" t="s">
        <v>79</v>
      </c>
      <c r="J45">
        <v>2022</v>
      </c>
    </row>
    <row r="46" spans="1:10" x14ac:dyDescent="0.3">
      <c r="A46" t="s">
        <v>131</v>
      </c>
      <c r="B46" t="s">
        <v>64</v>
      </c>
      <c r="C46" t="s">
        <v>132</v>
      </c>
      <c r="D46" t="s">
        <v>62</v>
      </c>
      <c r="E46" t="s">
        <v>44</v>
      </c>
      <c r="F46">
        <v>2023</v>
      </c>
      <c r="G46">
        <v>7.4</v>
      </c>
      <c r="H46">
        <v>90</v>
      </c>
      <c r="J46">
        <v>2021</v>
      </c>
    </row>
    <row r="47" spans="1:10" x14ac:dyDescent="0.3">
      <c r="A47" t="s">
        <v>133</v>
      </c>
      <c r="B47" t="s">
        <v>17</v>
      </c>
      <c r="C47" t="s">
        <v>61</v>
      </c>
      <c r="D47" t="s">
        <v>19</v>
      </c>
      <c r="E47" t="s">
        <v>14</v>
      </c>
      <c r="F47">
        <v>2018</v>
      </c>
      <c r="G47">
        <v>5.6</v>
      </c>
      <c r="H47">
        <v>135</v>
      </c>
      <c r="J47">
        <v>2022</v>
      </c>
    </row>
    <row r="48" spans="1:10" x14ac:dyDescent="0.3">
      <c r="A48" t="s">
        <v>134</v>
      </c>
      <c r="B48" t="s">
        <v>23</v>
      </c>
      <c r="C48" t="s">
        <v>135</v>
      </c>
      <c r="D48" t="s">
        <v>33</v>
      </c>
      <c r="E48" t="s">
        <v>44</v>
      </c>
      <c r="F48">
        <v>2023</v>
      </c>
      <c r="G48">
        <v>6.1</v>
      </c>
      <c r="I48" t="s">
        <v>79</v>
      </c>
      <c r="J48">
        <v>2020</v>
      </c>
    </row>
    <row r="49" spans="1:10" x14ac:dyDescent="0.3">
      <c r="A49" t="s">
        <v>136</v>
      </c>
      <c r="B49" t="s">
        <v>17</v>
      </c>
      <c r="C49" t="s">
        <v>115</v>
      </c>
      <c r="D49" t="s">
        <v>13</v>
      </c>
      <c r="E49" t="s">
        <v>20</v>
      </c>
      <c r="F49">
        <v>2019</v>
      </c>
      <c r="G49">
        <v>6.9</v>
      </c>
      <c r="H49">
        <v>90</v>
      </c>
      <c r="I49" t="s">
        <v>48</v>
      </c>
      <c r="J49">
        <v>2018</v>
      </c>
    </row>
    <row r="50" spans="1:10" x14ac:dyDescent="0.3">
      <c r="A50" t="s">
        <v>137</v>
      </c>
      <c r="B50" t="s">
        <v>11</v>
      </c>
      <c r="C50" t="s">
        <v>138</v>
      </c>
      <c r="D50" t="s">
        <v>13</v>
      </c>
      <c r="E50" t="s">
        <v>52</v>
      </c>
      <c r="F50">
        <v>2025</v>
      </c>
      <c r="G50">
        <v>7.6</v>
      </c>
      <c r="I50" t="s">
        <v>79</v>
      </c>
      <c r="J50">
        <v>2016</v>
      </c>
    </row>
    <row r="51" spans="1:10" x14ac:dyDescent="0.3">
      <c r="A51" t="s">
        <v>139</v>
      </c>
      <c r="B51" t="s">
        <v>17</v>
      </c>
      <c r="C51" t="s">
        <v>140</v>
      </c>
      <c r="D51" t="s">
        <v>55</v>
      </c>
      <c r="E51" t="s">
        <v>34</v>
      </c>
      <c r="F51">
        <v>2019</v>
      </c>
      <c r="G51">
        <v>5.5</v>
      </c>
      <c r="H51">
        <v>100</v>
      </c>
      <c r="I51" t="s">
        <v>79</v>
      </c>
      <c r="J51">
        <v>2026</v>
      </c>
    </row>
    <row r="52" spans="1:10" x14ac:dyDescent="0.3">
      <c r="A52" t="s">
        <v>141</v>
      </c>
      <c r="B52" t="s">
        <v>11</v>
      </c>
      <c r="C52" t="s">
        <v>142</v>
      </c>
      <c r="D52" t="s">
        <v>33</v>
      </c>
      <c r="E52" t="s">
        <v>38</v>
      </c>
      <c r="F52">
        <v>2025</v>
      </c>
      <c r="G52">
        <v>6.6</v>
      </c>
      <c r="H52">
        <v>60</v>
      </c>
      <c r="I52" t="s">
        <v>79</v>
      </c>
      <c r="J52">
        <v>2025</v>
      </c>
    </row>
    <row r="53" spans="1:10" x14ac:dyDescent="0.3">
      <c r="A53" t="s">
        <v>143</v>
      </c>
      <c r="B53" t="s">
        <v>17</v>
      </c>
      <c r="C53" t="s">
        <v>144</v>
      </c>
      <c r="D53" t="s">
        <v>55</v>
      </c>
      <c r="E53" t="s">
        <v>34</v>
      </c>
      <c r="F53">
        <v>2016</v>
      </c>
      <c r="G53">
        <v>6</v>
      </c>
      <c r="H53">
        <v>90</v>
      </c>
      <c r="I53" t="s">
        <v>15</v>
      </c>
      <c r="J53">
        <v>2024</v>
      </c>
    </row>
    <row r="54" spans="1:10" x14ac:dyDescent="0.3">
      <c r="A54" t="s">
        <v>145</v>
      </c>
      <c r="B54" t="s">
        <v>64</v>
      </c>
      <c r="C54" t="s">
        <v>146</v>
      </c>
      <c r="D54" t="s">
        <v>13</v>
      </c>
      <c r="E54" t="s">
        <v>34</v>
      </c>
      <c r="F54">
        <v>2015</v>
      </c>
      <c r="G54">
        <v>9.3000000000000007</v>
      </c>
      <c r="H54">
        <v>60</v>
      </c>
      <c r="I54" t="s">
        <v>30</v>
      </c>
      <c r="J54">
        <v>2024</v>
      </c>
    </row>
    <row r="55" spans="1:10" x14ac:dyDescent="0.3">
      <c r="A55" t="s">
        <v>147</v>
      </c>
      <c r="B55" t="s">
        <v>17</v>
      </c>
      <c r="C55" t="s">
        <v>132</v>
      </c>
      <c r="D55" t="s">
        <v>62</v>
      </c>
      <c r="E55" t="s">
        <v>52</v>
      </c>
      <c r="F55">
        <v>2024</v>
      </c>
      <c r="G55">
        <v>6.1</v>
      </c>
      <c r="H55">
        <v>45</v>
      </c>
      <c r="I55" t="s">
        <v>30</v>
      </c>
      <c r="J55">
        <v>2023</v>
      </c>
    </row>
    <row r="56" spans="1:10" x14ac:dyDescent="0.3">
      <c r="A56" t="s">
        <v>148</v>
      </c>
      <c r="B56" t="s">
        <v>11</v>
      </c>
      <c r="C56" t="s">
        <v>149</v>
      </c>
      <c r="D56" t="s">
        <v>37</v>
      </c>
      <c r="E56" t="s">
        <v>20</v>
      </c>
      <c r="F56">
        <v>2019</v>
      </c>
      <c r="G56">
        <v>9.1999999999999993</v>
      </c>
      <c r="H56">
        <v>60</v>
      </c>
      <c r="I56" t="s">
        <v>76</v>
      </c>
      <c r="J56">
        <v>2026</v>
      </c>
    </row>
    <row r="57" spans="1:10" x14ac:dyDescent="0.3">
      <c r="A57" t="s">
        <v>150</v>
      </c>
      <c r="B57" t="s">
        <v>11</v>
      </c>
      <c r="C57" t="s">
        <v>151</v>
      </c>
      <c r="D57" t="s">
        <v>152</v>
      </c>
      <c r="E57" t="s">
        <v>85</v>
      </c>
      <c r="F57">
        <v>2015</v>
      </c>
      <c r="G57">
        <v>7.8</v>
      </c>
      <c r="H57">
        <v>45</v>
      </c>
      <c r="J57">
        <v>2020</v>
      </c>
    </row>
    <row r="58" spans="1:10" x14ac:dyDescent="0.3">
      <c r="A58" t="s">
        <v>153</v>
      </c>
      <c r="B58" t="s">
        <v>23</v>
      </c>
      <c r="C58" t="s">
        <v>154</v>
      </c>
      <c r="D58" t="s">
        <v>33</v>
      </c>
      <c r="E58" t="s">
        <v>14</v>
      </c>
      <c r="F58">
        <v>2025</v>
      </c>
      <c r="G58">
        <v>6.6</v>
      </c>
      <c r="H58">
        <v>100</v>
      </c>
      <c r="I58" t="s">
        <v>76</v>
      </c>
      <c r="J58">
        <v>2020</v>
      </c>
    </row>
    <row r="59" spans="1:10" x14ac:dyDescent="0.3">
      <c r="A59" t="s">
        <v>155</v>
      </c>
      <c r="B59" t="s">
        <v>17</v>
      </c>
      <c r="C59" t="s">
        <v>100</v>
      </c>
      <c r="D59" t="s">
        <v>55</v>
      </c>
      <c r="E59" t="s">
        <v>26</v>
      </c>
      <c r="F59">
        <v>2016</v>
      </c>
      <c r="G59">
        <v>8.6999999999999993</v>
      </c>
      <c r="H59">
        <v>135</v>
      </c>
      <c r="I59" t="s">
        <v>76</v>
      </c>
      <c r="J59">
        <v>2026</v>
      </c>
    </row>
    <row r="60" spans="1:10" x14ac:dyDescent="0.3">
      <c r="A60" t="s">
        <v>156</v>
      </c>
      <c r="B60" t="s">
        <v>64</v>
      </c>
      <c r="C60" t="s">
        <v>157</v>
      </c>
      <c r="D60" t="s">
        <v>13</v>
      </c>
      <c r="E60" t="s">
        <v>34</v>
      </c>
      <c r="F60">
        <v>2022</v>
      </c>
      <c r="G60">
        <v>7.3</v>
      </c>
      <c r="H60">
        <v>135</v>
      </c>
      <c r="I60" t="s">
        <v>30</v>
      </c>
      <c r="J60">
        <v>2024</v>
      </c>
    </row>
    <row r="61" spans="1:10" x14ac:dyDescent="0.3">
      <c r="A61" t="s">
        <v>158</v>
      </c>
      <c r="B61" t="s">
        <v>17</v>
      </c>
      <c r="C61" t="s">
        <v>159</v>
      </c>
      <c r="D61" t="s">
        <v>13</v>
      </c>
      <c r="E61" t="s">
        <v>26</v>
      </c>
      <c r="F61">
        <v>2023</v>
      </c>
      <c r="G61">
        <v>9.4</v>
      </c>
      <c r="H61">
        <v>45</v>
      </c>
      <c r="I61" t="s">
        <v>30</v>
      </c>
      <c r="J61">
        <v>2024</v>
      </c>
    </row>
    <row r="62" spans="1:10" x14ac:dyDescent="0.3">
      <c r="A62" t="s">
        <v>160</v>
      </c>
      <c r="B62" t="s">
        <v>17</v>
      </c>
      <c r="C62" t="s">
        <v>161</v>
      </c>
      <c r="D62" t="s">
        <v>162</v>
      </c>
      <c r="E62" t="s">
        <v>44</v>
      </c>
      <c r="F62">
        <v>2019</v>
      </c>
      <c r="G62">
        <v>6.7</v>
      </c>
      <c r="H62">
        <v>50</v>
      </c>
      <c r="J62">
        <v>2021</v>
      </c>
    </row>
    <row r="63" spans="1:10" x14ac:dyDescent="0.3">
      <c r="A63" t="s">
        <v>163</v>
      </c>
      <c r="B63" t="s">
        <v>64</v>
      </c>
      <c r="C63" t="s">
        <v>164</v>
      </c>
      <c r="D63" t="s">
        <v>29</v>
      </c>
      <c r="E63" t="s">
        <v>59</v>
      </c>
      <c r="F63">
        <v>2016</v>
      </c>
      <c r="G63">
        <v>9.1999999999999993</v>
      </c>
      <c r="H63">
        <v>60</v>
      </c>
      <c r="I63" t="s">
        <v>30</v>
      </c>
      <c r="J63">
        <v>2016</v>
      </c>
    </row>
    <row r="64" spans="1:10" x14ac:dyDescent="0.3">
      <c r="A64" t="s">
        <v>165</v>
      </c>
      <c r="B64" t="s">
        <v>64</v>
      </c>
      <c r="C64" t="s">
        <v>166</v>
      </c>
      <c r="D64" t="s">
        <v>167</v>
      </c>
      <c r="E64" t="s">
        <v>52</v>
      </c>
      <c r="F64">
        <v>2019</v>
      </c>
      <c r="G64">
        <v>7.1</v>
      </c>
      <c r="H64">
        <v>135</v>
      </c>
      <c r="I64" t="s">
        <v>30</v>
      </c>
      <c r="J64">
        <v>2026</v>
      </c>
    </row>
    <row r="65" spans="1:10" x14ac:dyDescent="0.3">
      <c r="A65" t="s">
        <v>168</v>
      </c>
      <c r="B65" t="s">
        <v>17</v>
      </c>
      <c r="C65" t="s">
        <v>169</v>
      </c>
      <c r="D65" t="s">
        <v>55</v>
      </c>
      <c r="E65" t="s">
        <v>85</v>
      </c>
      <c r="F65">
        <v>2021</v>
      </c>
      <c r="G65">
        <v>9.5</v>
      </c>
      <c r="H65">
        <v>110</v>
      </c>
      <c r="I65" t="s">
        <v>79</v>
      </c>
      <c r="J65">
        <v>2022</v>
      </c>
    </row>
    <row r="66" spans="1:10" x14ac:dyDescent="0.3">
      <c r="A66" t="s">
        <v>170</v>
      </c>
      <c r="B66" t="s">
        <v>17</v>
      </c>
      <c r="C66" t="s">
        <v>92</v>
      </c>
      <c r="D66" t="s">
        <v>33</v>
      </c>
      <c r="E66" t="s">
        <v>44</v>
      </c>
      <c r="F66">
        <v>2025</v>
      </c>
      <c r="J66">
        <v>2019</v>
      </c>
    </row>
    <row r="67" spans="1:10" x14ac:dyDescent="0.3">
      <c r="A67" t="s">
        <v>171</v>
      </c>
      <c r="B67" t="s">
        <v>17</v>
      </c>
      <c r="C67" t="s">
        <v>172</v>
      </c>
      <c r="D67" t="s">
        <v>33</v>
      </c>
      <c r="E67" t="s">
        <v>14</v>
      </c>
      <c r="F67">
        <v>2016</v>
      </c>
      <c r="G67">
        <v>6.6</v>
      </c>
      <c r="H67">
        <v>90</v>
      </c>
      <c r="J67">
        <v>2023</v>
      </c>
    </row>
    <row r="68" spans="1:10" x14ac:dyDescent="0.3">
      <c r="A68" t="s">
        <v>173</v>
      </c>
      <c r="B68" t="s">
        <v>17</v>
      </c>
      <c r="C68" t="s">
        <v>98</v>
      </c>
      <c r="D68" t="s">
        <v>43</v>
      </c>
      <c r="E68" t="s">
        <v>52</v>
      </c>
      <c r="F68">
        <v>2018</v>
      </c>
      <c r="G68">
        <v>6.4</v>
      </c>
      <c r="H68">
        <v>100</v>
      </c>
      <c r="I68" t="s">
        <v>76</v>
      </c>
      <c r="J68">
        <v>2018</v>
      </c>
    </row>
    <row r="69" spans="1:10" x14ac:dyDescent="0.3">
      <c r="A69" t="s">
        <v>174</v>
      </c>
      <c r="B69" t="s">
        <v>17</v>
      </c>
      <c r="C69" t="s">
        <v>175</v>
      </c>
      <c r="D69" t="s">
        <v>51</v>
      </c>
      <c r="E69" t="s">
        <v>59</v>
      </c>
      <c r="F69">
        <v>2023</v>
      </c>
      <c r="G69">
        <v>8</v>
      </c>
      <c r="H69">
        <v>110</v>
      </c>
      <c r="I69" t="s">
        <v>48</v>
      </c>
      <c r="J69">
        <v>2023</v>
      </c>
    </row>
    <row r="70" spans="1:10" x14ac:dyDescent="0.3">
      <c r="A70" t="s">
        <v>176</v>
      </c>
      <c r="B70" t="s">
        <v>64</v>
      </c>
      <c r="C70" t="s">
        <v>177</v>
      </c>
      <c r="D70" t="s">
        <v>29</v>
      </c>
      <c r="E70" t="s">
        <v>26</v>
      </c>
      <c r="F70">
        <v>2016</v>
      </c>
      <c r="G70">
        <v>6.9</v>
      </c>
      <c r="H70">
        <v>50</v>
      </c>
      <c r="I70" t="s">
        <v>79</v>
      </c>
      <c r="J70">
        <v>2016</v>
      </c>
    </row>
    <row r="71" spans="1:10" x14ac:dyDescent="0.3">
      <c r="A71" t="s">
        <v>178</v>
      </c>
      <c r="B71" t="s">
        <v>17</v>
      </c>
      <c r="C71" t="s">
        <v>179</v>
      </c>
      <c r="D71" t="s">
        <v>51</v>
      </c>
      <c r="E71" t="s">
        <v>34</v>
      </c>
      <c r="F71">
        <v>2025</v>
      </c>
      <c r="G71">
        <v>9.4</v>
      </c>
      <c r="H71">
        <v>100</v>
      </c>
      <c r="I71" t="s">
        <v>21</v>
      </c>
      <c r="J71">
        <v>2018</v>
      </c>
    </row>
    <row r="72" spans="1:10" x14ac:dyDescent="0.3">
      <c r="A72" t="s">
        <v>180</v>
      </c>
      <c r="B72" t="s">
        <v>17</v>
      </c>
      <c r="C72" t="s">
        <v>181</v>
      </c>
      <c r="D72" t="s">
        <v>37</v>
      </c>
      <c r="E72" t="s">
        <v>59</v>
      </c>
      <c r="F72">
        <v>2024</v>
      </c>
      <c r="G72">
        <v>6.4</v>
      </c>
      <c r="H72">
        <v>45</v>
      </c>
      <c r="I72" t="s">
        <v>30</v>
      </c>
      <c r="J72">
        <v>2021</v>
      </c>
    </row>
    <row r="73" spans="1:10" x14ac:dyDescent="0.3">
      <c r="A73" t="s">
        <v>182</v>
      </c>
      <c r="B73" t="s">
        <v>11</v>
      </c>
      <c r="C73" t="s">
        <v>54</v>
      </c>
      <c r="D73" t="s">
        <v>37</v>
      </c>
      <c r="E73" t="s">
        <v>38</v>
      </c>
      <c r="F73">
        <v>2025</v>
      </c>
      <c r="G73">
        <v>5.8</v>
      </c>
      <c r="H73">
        <v>110</v>
      </c>
      <c r="I73" t="s">
        <v>76</v>
      </c>
      <c r="J73">
        <v>2016</v>
      </c>
    </row>
    <row r="74" spans="1:10" x14ac:dyDescent="0.3">
      <c r="A74" t="s">
        <v>183</v>
      </c>
      <c r="B74" t="s">
        <v>11</v>
      </c>
      <c r="C74" t="s">
        <v>113</v>
      </c>
      <c r="D74" t="s">
        <v>184</v>
      </c>
      <c r="E74" t="s">
        <v>38</v>
      </c>
      <c r="F74">
        <v>2023</v>
      </c>
      <c r="G74">
        <v>9.1999999999999993</v>
      </c>
      <c r="H74">
        <v>135</v>
      </c>
      <c r="J74">
        <v>2016</v>
      </c>
    </row>
    <row r="75" spans="1:10" x14ac:dyDescent="0.3">
      <c r="A75" t="s">
        <v>185</v>
      </c>
      <c r="B75" t="s">
        <v>11</v>
      </c>
      <c r="C75" t="s">
        <v>186</v>
      </c>
      <c r="D75" t="s">
        <v>55</v>
      </c>
      <c r="E75" t="s">
        <v>44</v>
      </c>
      <c r="F75">
        <v>2018</v>
      </c>
      <c r="G75">
        <v>6.8</v>
      </c>
      <c r="H75">
        <v>110</v>
      </c>
      <c r="I75" t="s">
        <v>76</v>
      </c>
      <c r="J75">
        <v>2020</v>
      </c>
    </row>
    <row r="76" spans="1:10" x14ac:dyDescent="0.3">
      <c r="A76" t="s">
        <v>187</v>
      </c>
      <c r="B76" t="s">
        <v>11</v>
      </c>
      <c r="C76" t="s">
        <v>188</v>
      </c>
      <c r="D76" t="s">
        <v>19</v>
      </c>
      <c r="E76" t="s">
        <v>38</v>
      </c>
      <c r="F76">
        <v>2016</v>
      </c>
      <c r="G76">
        <v>7.3</v>
      </c>
      <c r="H76">
        <v>45</v>
      </c>
      <c r="I76" t="s">
        <v>30</v>
      </c>
      <c r="J76">
        <v>2022</v>
      </c>
    </row>
    <row r="77" spans="1:10" x14ac:dyDescent="0.3">
      <c r="A77" t="s">
        <v>189</v>
      </c>
      <c r="B77" t="s">
        <v>64</v>
      </c>
      <c r="C77" t="s">
        <v>190</v>
      </c>
      <c r="D77" t="s">
        <v>13</v>
      </c>
      <c r="E77" t="s">
        <v>26</v>
      </c>
      <c r="F77">
        <v>2021</v>
      </c>
      <c r="G77">
        <v>6</v>
      </c>
      <c r="H77">
        <v>135</v>
      </c>
      <c r="J77">
        <v>2021</v>
      </c>
    </row>
    <row r="78" spans="1:10" x14ac:dyDescent="0.3">
      <c r="A78" t="s">
        <v>191</v>
      </c>
      <c r="B78" t="s">
        <v>11</v>
      </c>
      <c r="C78" t="s">
        <v>107</v>
      </c>
      <c r="D78" t="s">
        <v>62</v>
      </c>
      <c r="E78" t="s">
        <v>44</v>
      </c>
      <c r="F78">
        <v>2023</v>
      </c>
      <c r="G78">
        <v>7</v>
      </c>
      <c r="H78">
        <v>110</v>
      </c>
      <c r="I78" t="s">
        <v>21</v>
      </c>
      <c r="J78">
        <v>2019</v>
      </c>
    </row>
    <row r="79" spans="1:10" x14ac:dyDescent="0.3">
      <c r="A79" t="s">
        <v>192</v>
      </c>
      <c r="B79" t="s">
        <v>17</v>
      </c>
      <c r="C79" t="s">
        <v>193</v>
      </c>
      <c r="D79" t="s">
        <v>184</v>
      </c>
      <c r="E79" t="s">
        <v>14</v>
      </c>
      <c r="F79">
        <v>2024</v>
      </c>
      <c r="G79">
        <v>8.9</v>
      </c>
      <c r="H79">
        <v>110</v>
      </c>
      <c r="I79" t="s">
        <v>30</v>
      </c>
      <c r="J79">
        <v>2024</v>
      </c>
    </row>
    <row r="80" spans="1:10" x14ac:dyDescent="0.3">
      <c r="A80" t="s">
        <v>194</v>
      </c>
      <c r="B80" t="s">
        <v>17</v>
      </c>
      <c r="C80" t="s">
        <v>96</v>
      </c>
      <c r="D80" t="s">
        <v>62</v>
      </c>
      <c r="E80" t="s">
        <v>26</v>
      </c>
      <c r="F80">
        <v>2020</v>
      </c>
      <c r="G80">
        <v>7</v>
      </c>
      <c r="I80" t="s">
        <v>21</v>
      </c>
      <c r="J80">
        <v>2024</v>
      </c>
    </row>
    <row r="81" spans="1:10" x14ac:dyDescent="0.3">
      <c r="A81" t="s">
        <v>195</v>
      </c>
      <c r="B81" t="s">
        <v>17</v>
      </c>
      <c r="C81" t="s">
        <v>196</v>
      </c>
      <c r="D81" t="s">
        <v>19</v>
      </c>
      <c r="E81" t="s">
        <v>44</v>
      </c>
      <c r="F81">
        <v>2024</v>
      </c>
      <c r="G81">
        <v>7.7</v>
      </c>
      <c r="H81">
        <v>45</v>
      </c>
      <c r="I81" t="s">
        <v>76</v>
      </c>
      <c r="J81">
        <v>2016</v>
      </c>
    </row>
    <row r="82" spans="1:10" x14ac:dyDescent="0.3">
      <c r="A82" t="s">
        <v>197</v>
      </c>
      <c r="B82" t="s">
        <v>11</v>
      </c>
      <c r="C82" t="s">
        <v>198</v>
      </c>
      <c r="D82" t="s">
        <v>33</v>
      </c>
      <c r="E82" t="s">
        <v>34</v>
      </c>
      <c r="F82">
        <v>2021</v>
      </c>
      <c r="G82">
        <v>6.9</v>
      </c>
      <c r="H82">
        <v>135</v>
      </c>
      <c r="J82">
        <v>2026</v>
      </c>
    </row>
    <row r="83" spans="1:10" x14ac:dyDescent="0.3">
      <c r="A83" t="s">
        <v>199</v>
      </c>
      <c r="B83" t="s">
        <v>17</v>
      </c>
      <c r="C83" t="s">
        <v>68</v>
      </c>
      <c r="D83" t="s">
        <v>55</v>
      </c>
      <c r="E83" t="s">
        <v>38</v>
      </c>
      <c r="F83">
        <v>2023</v>
      </c>
      <c r="I83" t="s">
        <v>48</v>
      </c>
      <c r="J83">
        <v>2016</v>
      </c>
    </row>
    <row r="84" spans="1:10" x14ac:dyDescent="0.3">
      <c r="A84" t="s">
        <v>200</v>
      </c>
      <c r="B84" t="s">
        <v>11</v>
      </c>
      <c r="C84" t="s">
        <v>132</v>
      </c>
      <c r="D84" t="s">
        <v>43</v>
      </c>
      <c r="E84" t="s">
        <v>34</v>
      </c>
      <c r="F84">
        <v>2016</v>
      </c>
      <c r="G84">
        <v>6.8</v>
      </c>
      <c r="H84">
        <v>90</v>
      </c>
      <c r="J84">
        <v>2019</v>
      </c>
    </row>
    <row r="85" spans="1:10" x14ac:dyDescent="0.3">
      <c r="A85" t="s">
        <v>201</v>
      </c>
      <c r="B85" t="s">
        <v>23</v>
      </c>
      <c r="C85" t="s">
        <v>202</v>
      </c>
      <c r="D85" t="s">
        <v>29</v>
      </c>
      <c r="E85" t="s">
        <v>34</v>
      </c>
      <c r="F85">
        <v>2018</v>
      </c>
      <c r="G85">
        <v>7.6</v>
      </c>
      <c r="H85">
        <v>110</v>
      </c>
      <c r="I85" t="s">
        <v>30</v>
      </c>
      <c r="J85">
        <v>2016</v>
      </c>
    </row>
    <row r="86" spans="1:10" x14ac:dyDescent="0.3">
      <c r="A86" t="s">
        <v>203</v>
      </c>
      <c r="B86" t="s">
        <v>23</v>
      </c>
      <c r="C86" t="s">
        <v>204</v>
      </c>
      <c r="D86" t="s">
        <v>33</v>
      </c>
      <c r="E86" t="s">
        <v>34</v>
      </c>
      <c r="F86">
        <v>2022</v>
      </c>
      <c r="G86">
        <v>5.6</v>
      </c>
      <c r="H86">
        <v>100</v>
      </c>
      <c r="I86" t="s">
        <v>21</v>
      </c>
      <c r="J86">
        <v>2026</v>
      </c>
    </row>
    <row r="87" spans="1:10" x14ac:dyDescent="0.3">
      <c r="A87" t="s">
        <v>205</v>
      </c>
      <c r="B87" t="s">
        <v>23</v>
      </c>
      <c r="C87" t="s">
        <v>206</v>
      </c>
      <c r="D87" t="s">
        <v>33</v>
      </c>
      <c r="E87" t="s">
        <v>34</v>
      </c>
      <c r="F87">
        <v>2025</v>
      </c>
      <c r="G87">
        <v>8.4</v>
      </c>
      <c r="H87">
        <v>150</v>
      </c>
      <c r="J87">
        <v>2025</v>
      </c>
    </row>
    <row r="88" spans="1:10" x14ac:dyDescent="0.3">
      <c r="A88" t="s">
        <v>207</v>
      </c>
      <c r="B88" t="s">
        <v>11</v>
      </c>
      <c r="C88" t="s">
        <v>89</v>
      </c>
      <c r="D88" t="s">
        <v>152</v>
      </c>
      <c r="E88" t="s">
        <v>20</v>
      </c>
      <c r="F88">
        <v>2017</v>
      </c>
      <c r="G88">
        <v>6.7</v>
      </c>
      <c r="I88" t="s">
        <v>30</v>
      </c>
      <c r="J88">
        <v>2019</v>
      </c>
    </row>
    <row r="89" spans="1:10" x14ac:dyDescent="0.3">
      <c r="A89" t="s">
        <v>208</v>
      </c>
      <c r="B89" t="s">
        <v>23</v>
      </c>
      <c r="C89" t="s">
        <v>209</v>
      </c>
      <c r="D89" t="s">
        <v>58</v>
      </c>
      <c r="E89" t="s">
        <v>26</v>
      </c>
      <c r="F89">
        <v>2018</v>
      </c>
      <c r="G89">
        <v>7.9</v>
      </c>
      <c r="H89">
        <v>100</v>
      </c>
      <c r="J89">
        <v>2025</v>
      </c>
    </row>
    <row r="90" spans="1:10" x14ac:dyDescent="0.3">
      <c r="A90" t="s">
        <v>210</v>
      </c>
      <c r="B90" t="s">
        <v>23</v>
      </c>
      <c r="C90" t="s">
        <v>154</v>
      </c>
      <c r="D90" t="s">
        <v>126</v>
      </c>
      <c r="E90" t="s">
        <v>85</v>
      </c>
      <c r="F90">
        <v>2024</v>
      </c>
      <c r="G90">
        <v>8.9</v>
      </c>
      <c r="H90">
        <v>45</v>
      </c>
      <c r="I90" t="s">
        <v>79</v>
      </c>
      <c r="J90">
        <v>2016</v>
      </c>
    </row>
    <row r="91" spans="1:10" x14ac:dyDescent="0.3">
      <c r="A91" t="s">
        <v>211</v>
      </c>
      <c r="B91" t="s">
        <v>17</v>
      </c>
      <c r="C91" t="s">
        <v>212</v>
      </c>
      <c r="D91" t="s">
        <v>130</v>
      </c>
      <c r="E91" t="s">
        <v>85</v>
      </c>
      <c r="F91">
        <v>2016</v>
      </c>
      <c r="G91">
        <v>5.9</v>
      </c>
      <c r="H91">
        <v>110</v>
      </c>
      <c r="I91" t="s">
        <v>30</v>
      </c>
      <c r="J91">
        <v>2025</v>
      </c>
    </row>
    <row r="92" spans="1:10" x14ac:dyDescent="0.3">
      <c r="A92" t="s">
        <v>213</v>
      </c>
      <c r="B92" t="s">
        <v>64</v>
      </c>
      <c r="C92" t="s">
        <v>166</v>
      </c>
      <c r="D92" t="s">
        <v>75</v>
      </c>
      <c r="E92" t="s">
        <v>44</v>
      </c>
      <c r="F92">
        <v>2015</v>
      </c>
      <c r="G92">
        <v>8.1999999999999993</v>
      </c>
      <c r="H92">
        <v>110</v>
      </c>
      <c r="I92" t="s">
        <v>15</v>
      </c>
      <c r="J92">
        <v>2020</v>
      </c>
    </row>
    <row r="93" spans="1:10" x14ac:dyDescent="0.3">
      <c r="A93" t="s">
        <v>214</v>
      </c>
      <c r="B93" t="s">
        <v>11</v>
      </c>
      <c r="C93" t="s">
        <v>215</v>
      </c>
      <c r="D93" t="s">
        <v>162</v>
      </c>
      <c r="E93" t="s">
        <v>26</v>
      </c>
      <c r="F93">
        <v>2023</v>
      </c>
      <c r="G93">
        <v>8.1999999999999993</v>
      </c>
      <c r="H93">
        <v>60</v>
      </c>
      <c r="I93" t="s">
        <v>21</v>
      </c>
      <c r="J93">
        <v>2022</v>
      </c>
    </row>
    <row r="94" spans="1:10" x14ac:dyDescent="0.3">
      <c r="A94" t="s">
        <v>216</v>
      </c>
      <c r="B94" t="s">
        <v>64</v>
      </c>
      <c r="C94" t="s">
        <v>217</v>
      </c>
      <c r="D94" t="s">
        <v>37</v>
      </c>
      <c r="E94" t="s">
        <v>44</v>
      </c>
      <c r="F94">
        <v>2024</v>
      </c>
      <c r="G94">
        <v>7.6</v>
      </c>
      <c r="H94">
        <v>120</v>
      </c>
      <c r="I94" t="s">
        <v>15</v>
      </c>
      <c r="J94">
        <v>2020</v>
      </c>
    </row>
    <row r="95" spans="1:10" x14ac:dyDescent="0.3">
      <c r="A95" t="s">
        <v>218</v>
      </c>
      <c r="B95" t="s">
        <v>23</v>
      </c>
      <c r="C95" t="s">
        <v>219</v>
      </c>
      <c r="D95" t="s">
        <v>55</v>
      </c>
      <c r="E95" t="s">
        <v>26</v>
      </c>
      <c r="F95">
        <v>2025</v>
      </c>
      <c r="G95">
        <v>6.9</v>
      </c>
      <c r="H95">
        <v>60</v>
      </c>
      <c r="I95" t="s">
        <v>48</v>
      </c>
      <c r="J95">
        <v>2017</v>
      </c>
    </row>
    <row r="96" spans="1:10" x14ac:dyDescent="0.3">
      <c r="A96" t="s">
        <v>220</v>
      </c>
      <c r="B96" t="s">
        <v>23</v>
      </c>
      <c r="C96" t="s">
        <v>175</v>
      </c>
      <c r="D96" t="s">
        <v>37</v>
      </c>
      <c r="E96" t="s">
        <v>20</v>
      </c>
      <c r="F96">
        <v>2023</v>
      </c>
      <c r="G96">
        <v>5.7</v>
      </c>
      <c r="H96">
        <v>135</v>
      </c>
      <c r="I96" t="s">
        <v>15</v>
      </c>
      <c r="J96">
        <v>2021</v>
      </c>
    </row>
    <row r="97" spans="1:10" x14ac:dyDescent="0.3">
      <c r="A97" t="s">
        <v>221</v>
      </c>
      <c r="B97" t="s">
        <v>23</v>
      </c>
      <c r="C97" t="s">
        <v>222</v>
      </c>
      <c r="D97" t="s">
        <v>19</v>
      </c>
      <c r="E97" t="s">
        <v>26</v>
      </c>
      <c r="F97">
        <v>2025</v>
      </c>
      <c r="G97">
        <v>8.1999999999999993</v>
      </c>
      <c r="H97">
        <v>110</v>
      </c>
      <c r="I97" t="s">
        <v>48</v>
      </c>
      <c r="J97">
        <v>2025</v>
      </c>
    </row>
    <row r="98" spans="1:10" x14ac:dyDescent="0.3">
      <c r="A98" t="s">
        <v>223</v>
      </c>
      <c r="B98" t="s">
        <v>17</v>
      </c>
      <c r="C98" t="s">
        <v>125</v>
      </c>
      <c r="D98" t="s">
        <v>62</v>
      </c>
      <c r="E98" t="s">
        <v>59</v>
      </c>
      <c r="F98">
        <v>2022</v>
      </c>
      <c r="G98">
        <v>6.4</v>
      </c>
      <c r="H98">
        <v>135</v>
      </c>
      <c r="I98" t="s">
        <v>21</v>
      </c>
      <c r="J98">
        <v>2017</v>
      </c>
    </row>
    <row r="99" spans="1:10" x14ac:dyDescent="0.3">
      <c r="A99" t="s">
        <v>224</v>
      </c>
      <c r="B99" t="s">
        <v>64</v>
      </c>
      <c r="C99" t="s">
        <v>225</v>
      </c>
      <c r="D99" t="s">
        <v>152</v>
      </c>
      <c r="E99" t="s">
        <v>38</v>
      </c>
      <c r="F99">
        <v>2019</v>
      </c>
      <c r="G99">
        <v>7.7</v>
      </c>
      <c r="H99">
        <v>150</v>
      </c>
      <c r="I99" t="s">
        <v>21</v>
      </c>
      <c r="J99">
        <v>2018</v>
      </c>
    </row>
    <row r="100" spans="1:10" x14ac:dyDescent="0.3">
      <c r="A100" t="s">
        <v>226</v>
      </c>
      <c r="B100" t="s">
        <v>17</v>
      </c>
      <c r="C100" t="s">
        <v>227</v>
      </c>
      <c r="D100" t="s">
        <v>228</v>
      </c>
      <c r="E100" t="s">
        <v>85</v>
      </c>
      <c r="F100">
        <v>2020</v>
      </c>
      <c r="G100">
        <v>9</v>
      </c>
      <c r="H100">
        <v>60</v>
      </c>
      <c r="J100">
        <v>2018</v>
      </c>
    </row>
    <row r="101" spans="1:10" x14ac:dyDescent="0.3">
      <c r="A101" t="s">
        <v>229</v>
      </c>
      <c r="B101" t="s">
        <v>17</v>
      </c>
      <c r="C101" t="s">
        <v>230</v>
      </c>
      <c r="D101" t="s">
        <v>37</v>
      </c>
      <c r="E101" t="s">
        <v>85</v>
      </c>
      <c r="F101">
        <v>2018</v>
      </c>
      <c r="G101">
        <v>8.9</v>
      </c>
      <c r="H101">
        <v>90</v>
      </c>
      <c r="I101" t="s">
        <v>48</v>
      </c>
      <c r="J101">
        <v>2019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3F837-BC9A-4000-B8C2-3C02F2093644}">
  <dimension ref="A1:J103"/>
  <sheetViews>
    <sheetView workbookViewId="0">
      <selection activeCell="G10" sqref="G10"/>
    </sheetView>
  </sheetViews>
  <sheetFormatPr defaultRowHeight="14.4" x14ac:dyDescent="0.3"/>
  <cols>
    <col min="1" max="1" width="9.77734375" customWidth="1"/>
    <col min="2" max="2" width="8" bestFit="1" customWidth="1"/>
    <col min="3" max="3" width="14.109375" bestFit="1" customWidth="1"/>
    <col min="4" max="4" width="12.44140625" bestFit="1" customWidth="1"/>
    <col min="5" max="5" width="14" bestFit="1" customWidth="1"/>
    <col min="6" max="6" width="13.33203125" customWidth="1"/>
    <col min="7" max="7" width="8.21875" customWidth="1"/>
    <col min="8" max="8" width="10.21875" customWidth="1"/>
    <col min="9" max="9" width="9.88671875" bestFit="1" customWidth="1"/>
    <col min="10" max="10" width="12.5546875"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59</v>
      </c>
      <c r="F2">
        <v>2022</v>
      </c>
      <c r="G2">
        <v>7.7</v>
      </c>
      <c r="H2">
        <v>150</v>
      </c>
      <c r="I2" t="s">
        <v>15</v>
      </c>
      <c r="J2">
        <v>2016</v>
      </c>
    </row>
    <row r="3" spans="1:10" x14ac:dyDescent="0.3">
      <c r="A3" t="s">
        <v>16</v>
      </c>
      <c r="B3" t="s">
        <v>17</v>
      </c>
      <c r="C3" t="s">
        <v>18</v>
      </c>
      <c r="D3" t="s">
        <v>19</v>
      </c>
      <c r="E3" t="s">
        <v>20</v>
      </c>
      <c r="F3">
        <v>2016</v>
      </c>
      <c r="G3">
        <v>6.5</v>
      </c>
      <c r="H3">
        <v>135</v>
      </c>
      <c r="I3" t="s">
        <v>21</v>
      </c>
      <c r="J3">
        <v>2019</v>
      </c>
    </row>
    <row r="4" spans="1:10" x14ac:dyDescent="0.3">
      <c r="A4" t="s">
        <v>22</v>
      </c>
      <c r="B4" t="s">
        <v>23</v>
      </c>
      <c r="C4" t="s">
        <v>24</v>
      </c>
      <c r="D4" t="s">
        <v>25</v>
      </c>
      <c r="E4" t="s">
        <v>59</v>
      </c>
      <c r="F4">
        <v>2018</v>
      </c>
      <c r="G4">
        <v>8.1</v>
      </c>
      <c r="H4">
        <v>90</v>
      </c>
      <c r="I4" t="s">
        <v>231</v>
      </c>
      <c r="J4">
        <v>2022</v>
      </c>
    </row>
    <row r="5" spans="1:10" x14ac:dyDescent="0.3">
      <c r="A5" t="s">
        <v>27</v>
      </c>
      <c r="B5" t="s">
        <v>17</v>
      </c>
      <c r="C5" t="s">
        <v>28</v>
      </c>
      <c r="D5" t="s">
        <v>29</v>
      </c>
      <c r="E5" t="s">
        <v>59</v>
      </c>
      <c r="F5">
        <v>2017</v>
      </c>
      <c r="G5">
        <v>0</v>
      </c>
      <c r="H5">
        <v>100</v>
      </c>
      <c r="I5" t="s">
        <v>30</v>
      </c>
      <c r="J5">
        <v>2021</v>
      </c>
    </row>
    <row r="6" spans="1:10" x14ac:dyDescent="0.3">
      <c r="A6" t="s">
        <v>31</v>
      </c>
      <c r="B6" t="s">
        <v>23</v>
      </c>
      <c r="C6" t="s">
        <v>32</v>
      </c>
      <c r="D6" t="s">
        <v>33</v>
      </c>
      <c r="E6" t="s">
        <v>34</v>
      </c>
      <c r="F6">
        <v>2022</v>
      </c>
      <c r="G6">
        <v>9.1999999999999993</v>
      </c>
      <c r="H6">
        <v>90</v>
      </c>
      <c r="I6" t="s">
        <v>231</v>
      </c>
      <c r="J6">
        <v>2023</v>
      </c>
    </row>
    <row r="7" spans="1:10" x14ac:dyDescent="0.3">
      <c r="A7" t="s">
        <v>35</v>
      </c>
      <c r="B7" t="s">
        <v>17</v>
      </c>
      <c r="C7" t="s">
        <v>36</v>
      </c>
      <c r="D7" t="s">
        <v>37</v>
      </c>
      <c r="E7" t="s">
        <v>38</v>
      </c>
      <c r="F7">
        <v>2019</v>
      </c>
      <c r="G7">
        <v>7.5</v>
      </c>
      <c r="H7">
        <v>90</v>
      </c>
      <c r="I7" t="s">
        <v>231</v>
      </c>
      <c r="J7">
        <v>2019</v>
      </c>
    </row>
    <row r="8" spans="1:10" x14ac:dyDescent="0.3">
      <c r="A8" t="s">
        <v>39</v>
      </c>
      <c r="B8" t="s">
        <v>17</v>
      </c>
      <c r="C8" t="s">
        <v>40</v>
      </c>
      <c r="D8" t="s">
        <v>33</v>
      </c>
      <c r="E8" t="s">
        <v>20</v>
      </c>
      <c r="F8">
        <v>2025</v>
      </c>
      <c r="G8">
        <v>6.3</v>
      </c>
      <c r="H8">
        <v>110</v>
      </c>
      <c r="I8" t="s">
        <v>15</v>
      </c>
      <c r="J8">
        <v>2026</v>
      </c>
    </row>
    <row r="9" spans="1:10" x14ac:dyDescent="0.3">
      <c r="A9" t="s">
        <v>41</v>
      </c>
      <c r="B9" t="s">
        <v>11</v>
      </c>
      <c r="C9" t="s">
        <v>42</v>
      </c>
      <c r="D9" t="s">
        <v>43</v>
      </c>
      <c r="E9" t="s">
        <v>44</v>
      </c>
      <c r="F9">
        <v>2016</v>
      </c>
      <c r="G9">
        <v>0</v>
      </c>
      <c r="H9">
        <v>50</v>
      </c>
      <c r="I9" t="s">
        <v>231</v>
      </c>
      <c r="J9">
        <v>2019</v>
      </c>
    </row>
    <row r="10" spans="1:10" x14ac:dyDescent="0.3">
      <c r="A10" t="s">
        <v>45</v>
      </c>
      <c r="B10" t="s">
        <v>23</v>
      </c>
      <c r="C10" t="s">
        <v>46</v>
      </c>
      <c r="D10" t="s">
        <v>47</v>
      </c>
      <c r="E10" t="s">
        <v>20</v>
      </c>
      <c r="F10">
        <v>2020</v>
      </c>
      <c r="G10">
        <v>7.1</v>
      </c>
      <c r="H10">
        <v>45</v>
      </c>
      <c r="I10" t="s">
        <v>48</v>
      </c>
      <c r="J10">
        <v>2019</v>
      </c>
    </row>
    <row r="11" spans="1:10" x14ac:dyDescent="0.3">
      <c r="A11" t="s">
        <v>49</v>
      </c>
      <c r="B11" t="s">
        <v>11</v>
      </c>
      <c r="C11" t="s">
        <v>50</v>
      </c>
      <c r="D11" t="s">
        <v>51</v>
      </c>
      <c r="E11" t="s">
        <v>52</v>
      </c>
      <c r="F11">
        <v>2021</v>
      </c>
      <c r="G11">
        <v>6.3</v>
      </c>
      <c r="H11">
        <v>45</v>
      </c>
      <c r="I11" t="s">
        <v>30</v>
      </c>
      <c r="J11">
        <v>2017</v>
      </c>
    </row>
    <row r="12" spans="1:10" x14ac:dyDescent="0.3">
      <c r="A12" t="s">
        <v>53</v>
      </c>
      <c r="B12" t="s">
        <v>23</v>
      </c>
      <c r="C12" t="s">
        <v>54</v>
      </c>
      <c r="D12" t="s">
        <v>55</v>
      </c>
      <c r="E12" t="s">
        <v>52</v>
      </c>
      <c r="F12">
        <v>2020</v>
      </c>
      <c r="G12">
        <v>7</v>
      </c>
      <c r="H12">
        <v>60</v>
      </c>
      <c r="I12" t="s">
        <v>48</v>
      </c>
      <c r="J12">
        <v>2026</v>
      </c>
    </row>
    <row r="13" spans="1:10" x14ac:dyDescent="0.3">
      <c r="A13" t="s">
        <v>56</v>
      </c>
      <c r="B13" t="s">
        <v>11</v>
      </c>
      <c r="C13" t="s">
        <v>57</v>
      </c>
      <c r="D13" t="s">
        <v>58</v>
      </c>
      <c r="E13" t="s">
        <v>59</v>
      </c>
      <c r="F13">
        <v>2024</v>
      </c>
      <c r="G13">
        <v>7</v>
      </c>
      <c r="H13">
        <v>60</v>
      </c>
      <c r="I13" t="s">
        <v>15</v>
      </c>
      <c r="J13">
        <v>2016</v>
      </c>
    </row>
    <row r="14" spans="1:10" x14ac:dyDescent="0.3">
      <c r="A14" t="s">
        <v>60</v>
      </c>
      <c r="B14" t="s">
        <v>17</v>
      </c>
      <c r="C14" t="s">
        <v>61</v>
      </c>
      <c r="D14" t="s">
        <v>62</v>
      </c>
      <c r="E14" t="s">
        <v>59</v>
      </c>
      <c r="F14">
        <v>2015</v>
      </c>
      <c r="G14">
        <v>6.8</v>
      </c>
      <c r="H14">
        <v>120</v>
      </c>
      <c r="I14" t="s">
        <v>231</v>
      </c>
      <c r="J14">
        <v>2020</v>
      </c>
    </row>
    <row r="15" spans="1:10" x14ac:dyDescent="0.3">
      <c r="A15" t="s">
        <v>63</v>
      </c>
      <c r="B15" t="s">
        <v>64</v>
      </c>
      <c r="C15" t="s">
        <v>32</v>
      </c>
      <c r="D15" t="s">
        <v>37</v>
      </c>
      <c r="E15" t="s">
        <v>44</v>
      </c>
      <c r="F15">
        <v>2016</v>
      </c>
      <c r="G15">
        <v>7.8</v>
      </c>
      <c r="H15">
        <v>45</v>
      </c>
      <c r="I15" t="s">
        <v>231</v>
      </c>
      <c r="J15">
        <v>2017</v>
      </c>
    </row>
    <row r="16" spans="1:10" x14ac:dyDescent="0.3">
      <c r="A16" t="s">
        <v>65</v>
      </c>
      <c r="B16" t="s">
        <v>17</v>
      </c>
      <c r="C16" t="s">
        <v>66</v>
      </c>
      <c r="D16" t="s">
        <v>55</v>
      </c>
      <c r="E16" t="s">
        <v>20</v>
      </c>
      <c r="F16">
        <v>2025</v>
      </c>
      <c r="G16">
        <v>5.9</v>
      </c>
      <c r="H16">
        <v>150</v>
      </c>
      <c r="I16" t="s">
        <v>231</v>
      </c>
      <c r="J16">
        <v>2019</v>
      </c>
    </row>
    <row r="17" spans="1:10" x14ac:dyDescent="0.3">
      <c r="A17" t="s">
        <v>67</v>
      </c>
      <c r="B17" t="s">
        <v>17</v>
      </c>
      <c r="C17" t="s">
        <v>68</v>
      </c>
      <c r="D17" t="s">
        <v>37</v>
      </c>
      <c r="E17" t="s">
        <v>38</v>
      </c>
      <c r="F17">
        <v>2023</v>
      </c>
      <c r="G17">
        <v>7.7</v>
      </c>
      <c r="H17">
        <v>120</v>
      </c>
      <c r="I17" t="s">
        <v>30</v>
      </c>
      <c r="J17">
        <v>2023</v>
      </c>
    </row>
    <row r="18" spans="1:10" x14ac:dyDescent="0.3">
      <c r="A18" t="s">
        <v>69</v>
      </c>
      <c r="B18" t="s">
        <v>11</v>
      </c>
      <c r="C18" t="s">
        <v>70</v>
      </c>
      <c r="D18" t="s">
        <v>51</v>
      </c>
      <c r="E18" t="s">
        <v>34</v>
      </c>
      <c r="F18">
        <v>2016</v>
      </c>
      <c r="G18">
        <v>6.8</v>
      </c>
      <c r="H18">
        <v>135</v>
      </c>
      <c r="I18" t="s">
        <v>30</v>
      </c>
      <c r="J18">
        <v>2021</v>
      </c>
    </row>
    <row r="19" spans="1:10" x14ac:dyDescent="0.3">
      <c r="A19" t="s">
        <v>71</v>
      </c>
      <c r="B19" t="s">
        <v>17</v>
      </c>
      <c r="C19" t="s">
        <v>72</v>
      </c>
      <c r="D19" t="s">
        <v>13</v>
      </c>
      <c r="E19" t="s">
        <v>59</v>
      </c>
      <c r="F19">
        <v>2024</v>
      </c>
      <c r="G19">
        <v>6.8</v>
      </c>
      <c r="H19">
        <v>100</v>
      </c>
      <c r="I19" t="s">
        <v>231</v>
      </c>
      <c r="J19">
        <v>2024</v>
      </c>
    </row>
    <row r="20" spans="1:10" x14ac:dyDescent="0.3">
      <c r="A20" t="s">
        <v>73</v>
      </c>
      <c r="B20" t="s">
        <v>17</v>
      </c>
      <c r="C20" t="s">
        <v>74</v>
      </c>
      <c r="D20" t="s">
        <v>75</v>
      </c>
      <c r="E20" t="s">
        <v>20</v>
      </c>
      <c r="F20">
        <v>2019</v>
      </c>
      <c r="G20">
        <v>6.7</v>
      </c>
      <c r="H20">
        <v>150</v>
      </c>
      <c r="I20" t="s">
        <v>76</v>
      </c>
      <c r="J20">
        <v>2021</v>
      </c>
    </row>
    <row r="21" spans="1:10" x14ac:dyDescent="0.3">
      <c r="A21" t="s">
        <v>77</v>
      </c>
      <c r="B21" t="s">
        <v>64</v>
      </c>
      <c r="C21" t="s">
        <v>78</v>
      </c>
      <c r="D21" t="s">
        <v>62</v>
      </c>
      <c r="E21" t="s">
        <v>59</v>
      </c>
      <c r="F21">
        <v>2015</v>
      </c>
      <c r="G21">
        <v>7.1</v>
      </c>
      <c r="H21">
        <v>110</v>
      </c>
      <c r="I21" t="s">
        <v>79</v>
      </c>
      <c r="J21">
        <v>2026</v>
      </c>
    </row>
    <row r="22" spans="1:10" x14ac:dyDescent="0.3">
      <c r="A22" t="s">
        <v>80</v>
      </c>
      <c r="B22" t="s">
        <v>64</v>
      </c>
      <c r="C22" t="s">
        <v>81</v>
      </c>
      <c r="D22" t="s">
        <v>82</v>
      </c>
      <c r="E22" t="s">
        <v>59</v>
      </c>
      <c r="F22">
        <v>2021</v>
      </c>
      <c r="G22">
        <v>7.1</v>
      </c>
      <c r="H22">
        <v>50</v>
      </c>
      <c r="I22" t="s">
        <v>76</v>
      </c>
      <c r="J22">
        <v>2019</v>
      </c>
    </row>
    <row r="23" spans="1:10" x14ac:dyDescent="0.3">
      <c r="A23" t="s">
        <v>83</v>
      </c>
      <c r="B23" t="s">
        <v>17</v>
      </c>
      <c r="C23" t="s">
        <v>84</v>
      </c>
      <c r="D23" t="s">
        <v>55</v>
      </c>
      <c r="E23" t="s">
        <v>85</v>
      </c>
      <c r="F23">
        <v>2020</v>
      </c>
      <c r="G23">
        <v>0</v>
      </c>
      <c r="H23">
        <v>120</v>
      </c>
      <c r="I23" t="s">
        <v>231</v>
      </c>
      <c r="J23">
        <v>2019</v>
      </c>
    </row>
    <row r="24" spans="1:10" x14ac:dyDescent="0.3">
      <c r="A24" t="s">
        <v>86</v>
      </c>
      <c r="B24" t="s">
        <v>11</v>
      </c>
      <c r="C24" t="s">
        <v>87</v>
      </c>
      <c r="D24" t="s">
        <v>37</v>
      </c>
      <c r="E24" t="s">
        <v>59</v>
      </c>
      <c r="F24">
        <v>2023</v>
      </c>
      <c r="G24">
        <v>7.9</v>
      </c>
      <c r="H24">
        <v>90</v>
      </c>
      <c r="I24" t="s">
        <v>21</v>
      </c>
      <c r="J24">
        <v>2020</v>
      </c>
    </row>
    <row r="25" spans="1:10" x14ac:dyDescent="0.3">
      <c r="A25" t="s">
        <v>88</v>
      </c>
      <c r="B25" t="s">
        <v>23</v>
      </c>
      <c r="C25" t="s">
        <v>89</v>
      </c>
      <c r="D25" t="s">
        <v>51</v>
      </c>
      <c r="E25" t="s">
        <v>59</v>
      </c>
      <c r="F25">
        <v>2016</v>
      </c>
      <c r="G25">
        <v>7.1</v>
      </c>
      <c r="H25">
        <v>60</v>
      </c>
      <c r="I25" t="s">
        <v>231</v>
      </c>
      <c r="J25">
        <v>2018</v>
      </c>
    </row>
    <row r="26" spans="1:10" x14ac:dyDescent="0.3">
      <c r="A26" t="s">
        <v>90</v>
      </c>
      <c r="B26" t="s">
        <v>64</v>
      </c>
      <c r="C26" t="s">
        <v>70</v>
      </c>
      <c r="D26" t="s">
        <v>33</v>
      </c>
      <c r="E26" t="s">
        <v>59</v>
      </c>
      <c r="F26">
        <v>2024</v>
      </c>
      <c r="G26">
        <v>6.6</v>
      </c>
      <c r="H26">
        <v>60</v>
      </c>
      <c r="I26" t="s">
        <v>79</v>
      </c>
      <c r="J26">
        <v>2026</v>
      </c>
    </row>
    <row r="27" spans="1:10" x14ac:dyDescent="0.3">
      <c r="A27" t="s">
        <v>91</v>
      </c>
      <c r="B27" t="s">
        <v>23</v>
      </c>
      <c r="C27" t="s">
        <v>92</v>
      </c>
      <c r="D27" t="s">
        <v>62</v>
      </c>
      <c r="E27" t="s">
        <v>44</v>
      </c>
      <c r="F27">
        <v>2016</v>
      </c>
      <c r="G27">
        <v>7.5</v>
      </c>
      <c r="H27">
        <v>50</v>
      </c>
      <c r="I27" t="s">
        <v>21</v>
      </c>
      <c r="J27">
        <v>2016</v>
      </c>
    </row>
    <row r="28" spans="1:10" x14ac:dyDescent="0.3">
      <c r="A28" t="s">
        <v>93</v>
      </c>
      <c r="B28" t="s">
        <v>17</v>
      </c>
      <c r="C28" t="s">
        <v>94</v>
      </c>
      <c r="D28" t="s">
        <v>13</v>
      </c>
      <c r="E28" t="s">
        <v>85</v>
      </c>
      <c r="F28">
        <v>2022</v>
      </c>
      <c r="G28">
        <v>0</v>
      </c>
      <c r="H28">
        <v>150</v>
      </c>
      <c r="I28" t="s">
        <v>48</v>
      </c>
      <c r="J28">
        <v>2018</v>
      </c>
    </row>
    <row r="29" spans="1:10" x14ac:dyDescent="0.3">
      <c r="A29" t="s">
        <v>95</v>
      </c>
      <c r="B29" t="s">
        <v>23</v>
      </c>
      <c r="C29" t="s">
        <v>96</v>
      </c>
      <c r="D29" t="s">
        <v>13</v>
      </c>
      <c r="E29" t="s">
        <v>34</v>
      </c>
      <c r="F29">
        <v>2022</v>
      </c>
      <c r="G29">
        <v>8.6</v>
      </c>
      <c r="H29">
        <v>45</v>
      </c>
      <c r="I29" t="s">
        <v>21</v>
      </c>
      <c r="J29">
        <v>2022</v>
      </c>
    </row>
    <row r="30" spans="1:10" x14ac:dyDescent="0.3">
      <c r="A30" t="s">
        <v>97</v>
      </c>
      <c r="B30" t="s">
        <v>64</v>
      </c>
      <c r="C30" t="s">
        <v>98</v>
      </c>
      <c r="D30" t="s">
        <v>47</v>
      </c>
      <c r="E30" t="s">
        <v>44</v>
      </c>
      <c r="F30">
        <v>2024</v>
      </c>
      <c r="G30">
        <v>8.6999999999999993</v>
      </c>
      <c r="H30">
        <v>150</v>
      </c>
      <c r="I30" t="s">
        <v>48</v>
      </c>
      <c r="J30">
        <v>2026</v>
      </c>
    </row>
    <row r="31" spans="1:10" x14ac:dyDescent="0.3">
      <c r="A31" t="s">
        <v>99</v>
      </c>
      <c r="B31" t="s">
        <v>23</v>
      </c>
      <c r="C31" t="s">
        <v>100</v>
      </c>
      <c r="D31" t="s">
        <v>33</v>
      </c>
      <c r="E31" t="s">
        <v>34</v>
      </c>
      <c r="F31">
        <v>2018</v>
      </c>
      <c r="G31">
        <v>6.4</v>
      </c>
      <c r="H31">
        <v>150</v>
      </c>
      <c r="I31" t="s">
        <v>79</v>
      </c>
      <c r="J31">
        <v>2026</v>
      </c>
    </row>
    <row r="32" spans="1:10" x14ac:dyDescent="0.3">
      <c r="A32" t="s">
        <v>101</v>
      </c>
      <c r="B32" t="s">
        <v>64</v>
      </c>
      <c r="C32" t="s">
        <v>102</v>
      </c>
      <c r="D32" t="s">
        <v>51</v>
      </c>
      <c r="E32" t="s">
        <v>34</v>
      </c>
      <c r="F32">
        <v>2018</v>
      </c>
      <c r="G32">
        <v>9.1999999999999993</v>
      </c>
      <c r="H32">
        <v>150</v>
      </c>
      <c r="I32" t="s">
        <v>30</v>
      </c>
      <c r="J32">
        <v>2025</v>
      </c>
    </row>
    <row r="33" spans="1:10" x14ac:dyDescent="0.3">
      <c r="A33" t="s">
        <v>103</v>
      </c>
      <c r="B33" t="s">
        <v>23</v>
      </c>
      <c r="C33" t="s">
        <v>104</v>
      </c>
      <c r="D33" t="s">
        <v>105</v>
      </c>
      <c r="E33" t="s">
        <v>59</v>
      </c>
      <c r="F33">
        <v>2019</v>
      </c>
      <c r="G33">
        <v>7.1</v>
      </c>
      <c r="H33">
        <v>120</v>
      </c>
      <c r="I33" t="s">
        <v>15</v>
      </c>
      <c r="J33">
        <v>2016</v>
      </c>
    </row>
    <row r="34" spans="1:10" x14ac:dyDescent="0.3">
      <c r="A34" t="s">
        <v>106</v>
      </c>
      <c r="B34" t="s">
        <v>64</v>
      </c>
      <c r="C34" t="s">
        <v>107</v>
      </c>
      <c r="D34" t="s">
        <v>62</v>
      </c>
      <c r="E34" t="s">
        <v>85</v>
      </c>
      <c r="F34">
        <v>2025</v>
      </c>
      <c r="G34">
        <v>6.1</v>
      </c>
      <c r="H34">
        <v>150</v>
      </c>
      <c r="I34" t="s">
        <v>21</v>
      </c>
      <c r="J34">
        <v>2024</v>
      </c>
    </row>
    <row r="35" spans="1:10" x14ac:dyDescent="0.3">
      <c r="A35" t="s">
        <v>108</v>
      </c>
      <c r="B35" t="s">
        <v>23</v>
      </c>
      <c r="C35" t="s">
        <v>109</v>
      </c>
      <c r="D35" t="s">
        <v>33</v>
      </c>
      <c r="E35" t="s">
        <v>52</v>
      </c>
      <c r="F35">
        <v>2024</v>
      </c>
      <c r="G35">
        <v>8.4</v>
      </c>
      <c r="H35">
        <v>110</v>
      </c>
      <c r="I35" t="s">
        <v>15</v>
      </c>
      <c r="J35">
        <v>2023</v>
      </c>
    </row>
    <row r="36" spans="1:10" x14ac:dyDescent="0.3">
      <c r="A36" t="s">
        <v>110</v>
      </c>
      <c r="B36" t="s">
        <v>11</v>
      </c>
      <c r="C36" t="s">
        <v>111</v>
      </c>
      <c r="D36" t="s">
        <v>29</v>
      </c>
      <c r="E36" t="s">
        <v>85</v>
      </c>
      <c r="F36">
        <v>2025</v>
      </c>
      <c r="G36">
        <v>9.4</v>
      </c>
      <c r="H36">
        <v>50</v>
      </c>
      <c r="I36" t="s">
        <v>231</v>
      </c>
      <c r="J36">
        <v>2026</v>
      </c>
    </row>
    <row r="37" spans="1:10" x14ac:dyDescent="0.3">
      <c r="A37" t="s">
        <v>112</v>
      </c>
      <c r="B37" t="s">
        <v>17</v>
      </c>
      <c r="C37" t="s">
        <v>113</v>
      </c>
      <c r="D37" t="s">
        <v>58</v>
      </c>
      <c r="E37" t="s">
        <v>52</v>
      </c>
      <c r="F37">
        <v>2019</v>
      </c>
      <c r="G37">
        <v>9.1</v>
      </c>
      <c r="H37">
        <v>135</v>
      </c>
      <c r="I37" t="s">
        <v>21</v>
      </c>
      <c r="J37">
        <v>2023</v>
      </c>
    </row>
    <row r="38" spans="1:10" x14ac:dyDescent="0.3">
      <c r="A38" t="s">
        <v>114</v>
      </c>
      <c r="B38" t="s">
        <v>23</v>
      </c>
      <c r="C38" t="s">
        <v>115</v>
      </c>
      <c r="D38" t="s">
        <v>55</v>
      </c>
      <c r="E38" t="s">
        <v>52</v>
      </c>
      <c r="F38">
        <v>2021</v>
      </c>
      <c r="G38">
        <v>6.1</v>
      </c>
      <c r="H38">
        <v>60</v>
      </c>
      <c r="I38" t="s">
        <v>48</v>
      </c>
      <c r="J38">
        <v>2026</v>
      </c>
    </row>
    <row r="39" spans="1:10" x14ac:dyDescent="0.3">
      <c r="A39" t="s">
        <v>116</v>
      </c>
      <c r="B39" t="s">
        <v>23</v>
      </c>
      <c r="C39" t="s">
        <v>117</v>
      </c>
      <c r="D39" t="s">
        <v>29</v>
      </c>
      <c r="E39" t="s">
        <v>20</v>
      </c>
      <c r="F39">
        <v>2016</v>
      </c>
      <c r="G39">
        <v>6.3</v>
      </c>
      <c r="H39">
        <v>45</v>
      </c>
      <c r="I39" t="s">
        <v>76</v>
      </c>
      <c r="J39">
        <v>2019</v>
      </c>
    </row>
    <row r="40" spans="1:10" x14ac:dyDescent="0.3">
      <c r="A40" t="s">
        <v>118</v>
      </c>
      <c r="B40" t="s">
        <v>23</v>
      </c>
      <c r="C40" t="s">
        <v>119</v>
      </c>
      <c r="D40" t="s">
        <v>37</v>
      </c>
      <c r="E40" t="s">
        <v>85</v>
      </c>
      <c r="F40">
        <v>2020</v>
      </c>
      <c r="G40">
        <v>8.6999999999999993</v>
      </c>
      <c r="H40">
        <v>45</v>
      </c>
      <c r="I40" t="s">
        <v>231</v>
      </c>
      <c r="J40">
        <v>2026</v>
      </c>
    </row>
    <row r="41" spans="1:10" x14ac:dyDescent="0.3">
      <c r="A41" t="s">
        <v>120</v>
      </c>
      <c r="B41" t="s">
        <v>23</v>
      </c>
      <c r="C41" t="s">
        <v>121</v>
      </c>
      <c r="D41" t="s">
        <v>47</v>
      </c>
      <c r="E41" t="s">
        <v>44</v>
      </c>
      <c r="F41">
        <v>2023</v>
      </c>
      <c r="G41">
        <v>0</v>
      </c>
      <c r="H41">
        <v>60</v>
      </c>
      <c r="I41" t="s">
        <v>48</v>
      </c>
      <c r="J41">
        <v>2024</v>
      </c>
    </row>
    <row r="42" spans="1:10" x14ac:dyDescent="0.3">
      <c r="A42" t="s">
        <v>122</v>
      </c>
      <c r="B42" t="s">
        <v>17</v>
      </c>
      <c r="C42" t="s">
        <v>123</v>
      </c>
      <c r="D42" t="s">
        <v>29</v>
      </c>
      <c r="E42" t="s">
        <v>59</v>
      </c>
      <c r="F42">
        <v>2016</v>
      </c>
      <c r="G42">
        <v>5.6</v>
      </c>
      <c r="H42">
        <v>150</v>
      </c>
      <c r="I42" t="s">
        <v>231</v>
      </c>
      <c r="J42">
        <v>2016</v>
      </c>
    </row>
    <row r="43" spans="1:10" x14ac:dyDescent="0.3">
      <c r="A43" t="s">
        <v>124</v>
      </c>
      <c r="B43" t="s">
        <v>64</v>
      </c>
      <c r="C43" t="s">
        <v>125</v>
      </c>
      <c r="D43" t="s">
        <v>126</v>
      </c>
      <c r="E43" t="s">
        <v>59</v>
      </c>
      <c r="F43">
        <v>2018</v>
      </c>
      <c r="G43">
        <v>6.5</v>
      </c>
      <c r="H43">
        <v>50</v>
      </c>
      <c r="I43" t="s">
        <v>21</v>
      </c>
      <c r="J43">
        <v>2023</v>
      </c>
    </row>
    <row r="44" spans="1:10" x14ac:dyDescent="0.3">
      <c r="A44" t="s">
        <v>127</v>
      </c>
      <c r="B44" t="s">
        <v>11</v>
      </c>
      <c r="C44" t="s">
        <v>18</v>
      </c>
      <c r="D44" t="s">
        <v>55</v>
      </c>
      <c r="E44" t="s">
        <v>59</v>
      </c>
      <c r="F44">
        <v>2017</v>
      </c>
      <c r="G44">
        <v>0</v>
      </c>
      <c r="H44">
        <v>60</v>
      </c>
      <c r="I44" t="s">
        <v>76</v>
      </c>
      <c r="J44">
        <v>2016</v>
      </c>
    </row>
    <row r="45" spans="1:10" x14ac:dyDescent="0.3">
      <c r="A45" t="s">
        <v>128</v>
      </c>
      <c r="B45" t="s">
        <v>11</v>
      </c>
      <c r="C45" t="s">
        <v>129</v>
      </c>
      <c r="D45" t="s">
        <v>130</v>
      </c>
      <c r="E45" t="s">
        <v>38</v>
      </c>
      <c r="F45">
        <v>2017</v>
      </c>
      <c r="G45">
        <v>5.9</v>
      </c>
      <c r="H45">
        <v>50</v>
      </c>
      <c r="I45" t="s">
        <v>79</v>
      </c>
      <c r="J45">
        <v>2022</v>
      </c>
    </row>
    <row r="46" spans="1:10" x14ac:dyDescent="0.3">
      <c r="A46" t="s">
        <v>131</v>
      </c>
      <c r="B46" t="s">
        <v>64</v>
      </c>
      <c r="C46" t="s">
        <v>132</v>
      </c>
      <c r="D46" t="s">
        <v>62</v>
      </c>
      <c r="E46" t="s">
        <v>44</v>
      </c>
      <c r="F46">
        <v>2023</v>
      </c>
      <c r="G46">
        <v>7.4</v>
      </c>
      <c r="H46">
        <v>90</v>
      </c>
      <c r="I46" t="s">
        <v>231</v>
      </c>
      <c r="J46">
        <v>2021</v>
      </c>
    </row>
    <row r="47" spans="1:10" x14ac:dyDescent="0.3">
      <c r="A47" t="s">
        <v>133</v>
      </c>
      <c r="B47" t="s">
        <v>17</v>
      </c>
      <c r="C47" t="s">
        <v>61</v>
      </c>
      <c r="D47" t="s">
        <v>19</v>
      </c>
      <c r="E47" t="s">
        <v>59</v>
      </c>
      <c r="F47">
        <v>2018</v>
      </c>
      <c r="G47">
        <v>5.6</v>
      </c>
      <c r="H47">
        <v>135</v>
      </c>
      <c r="I47" t="s">
        <v>231</v>
      </c>
      <c r="J47">
        <v>2022</v>
      </c>
    </row>
    <row r="48" spans="1:10" x14ac:dyDescent="0.3">
      <c r="A48" t="s">
        <v>134</v>
      </c>
      <c r="B48" t="s">
        <v>23</v>
      </c>
      <c r="C48" t="s">
        <v>135</v>
      </c>
      <c r="D48" t="s">
        <v>33</v>
      </c>
      <c r="E48" t="s">
        <v>44</v>
      </c>
      <c r="F48">
        <v>2023</v>
      </c>
      <c r="G48">
        <v>6.1</v>
      </c>
      <c r="H48">
        <v>0</v>
      </c>
      <c r="I48" t="s">
        <v>79</v>
      </c>
      <c r="J48">
        <v>2020</v>
      </c>
    </row>
    <row r="49" spans="1:10" x14ac:dyDescent="0.3">
      <c r="A49" t="s">
        <v>136</v>
      </c>
      <c r="B49" t="s">
        <v>17</v>
      </c>
      <c r="C49" t="s">
        <v>115</v>
      </c>
      <c r="D49" t="s">
        <v>13</v>
      </c>
      <c r="E49" t="s">
        <v>20</v>
      </c>
      <c r="F49">
        <v>2019</v>
      </c>
      <c r="G49">
        <v>6.9</v>
      </c>
      <c r="H49">
        <v>90</v>
      </c>
      <c r="I49" t="s">
        <v>48</v>
      </c>
      <c r="J49">
        <v>2018</v>
      </c>
    </row>
    <row r="50" spans="1:10" x14ac:dyDescent="0.3">
      <c r="A50" t="s">
        <v>137</v>
      </c>
      <c r="B50" t="s">
        <v>11</v>
      </c>
      <c r="C50" t="s">
        <v>138</v>
      </c>
      <c r="D50" t="s">
        <v>13</v>
      </c>
      <c r="E50" t="s">
        <v>52</v>
      </c>
      <c r="F50">
        <v>2025</v>
      </c>
      <c r="G50">
        <v>7.6</v>
      </c>
      <c r="H50">
        <v>0</v>
      </c>
      <c r="I50" t="s">
        <v>79</v>
      </c>
      <c r="J50">
        <v>2016</v>
      </c>
    </row>
    <row r="51" spans="1:10" x14ac:dyDescent="0.3">
      <c r="A51" t="s">
        <v>139</v>
      </c>
      <c r="B51" t="s">
        <v>17</v>
      </c>
      <c r="C51" t="s">
        <v>140</v>
      </c>
      <c r="D51" t="s">
        <v>55</v>
      </c>
      <c r="E51" t="s">
        <v>34</v>
      </c>
      <c r="F51">
        <v>2019</v>
      </c>
      <c r="G51">
        <v>5.5</v>
      </c>
      <c r="H51">
        <v>100</v>
      </c>
      <c r="I51" t="s">
        <v>79</v>
      </c>
      <c r="J51">
        <v>2026</v>
      </c>
    </row>
    <row r="52" spans="1:10" x14ac:dyDescent="0.3">
      <c r="A52" t="s">
        <v>141</v>
      </c>
      <c r="B52" t="s">
        <v>11</v>
      </c>
      <c r="C52" t="s">
        <v>142</v>
      </c>
      <c r="D52" t="s">
        <v>33</v>
      </c>
      <c r="E52" t="s">
        <v>38</v>
      </c>
      <c r="F52">
        <v>2025</v>
      </c>
      <c r="G52">
        <v>6.6</v>
      </c>
      <c r="H52">
        <v>60</v>
      </c>
      <c r="I52" t="s">
        <v>79</v>
      </c>
      <c r="J52">
        <v>2025</v>
      </c>
    </row>
    <row r="53" spans="1:10" x14ac:dyDescent="0.3">
      <c r="A53" t="s">
        <v>143</v>
      </c>
      <c r="B53" t="s">
        <v>17</v>
      </c>
      <c r="C53" t="s">
        <v>144</v>
      </c>
      <c r="D53" t="s">
        <v>55</v>
      </c>
      <c r="E53" t="s">
        <v>34</v>
      </c>
      <c r="F53">
        <v>2016</v>
      </c>
      <c r="G53">
        <v>6</v>
      </c>
      <c r="H53">
        <v>90</v>
      </c>
      <c r="I53" t="s">
        <v>15</v>
      </c>
      <c r="J53">
        <v>2024</v>
      </c>
    </row>
    <row r="54" spans="1:10" x14ac:dyDescent="0.3">
      <c r="A54" t="s">
        <v>145</v>
      </c>
      <c r="B54" t="s">
        <v>64</v>
      </c>
      <c r="C54" t="s">
        <v>146</v>
      </c>
      <c r="D54" t="s">
        <v>13</v>
      </c>
      <c r="E54" t="s">
        <v>34</v>
      </c>
      <c r="F54">
        <v>2015</v>
      </c>
      <c r="G54">
        <v>9.3000000000000007</v>
      </c>
      <c r="H54">
        <v>60</v>
      </c>
      <c r="I54" t="s">
        <v>30</v>
      </c>
      <c r="J54">
        <v>2024</v>
      </c>
    </row>
    <row r="55" spans="1:10" x14ac:dyDescent="0.3">
      <c r="A55" t="s">
        <v>147</v>
      </c>
      <c r="B55" t="s">
        <v>17</v>
      </c>
      <c r="C55" t="s">
        <v>132</v>
      </c>
      <c r="D55" t="s">
        <v>62</v>
      </c>
      <c r="E55" t="s">
        <v>52</v>
      </c>
      <c r="F55">
        <v>2024</v>
      </c>
      <c r="G55">
        <v>6.1</v>
      </c>
      <c r="H55">
        <v>45</v>
      </c>
      <c r="I55" t="s">
        <v>30</v>
      </c>
      <c r="J55">
        <v>2023</v>
      </c>
    </row>
    <row r="56" spans="1:10" x14ac:dyDescent="0.3">
      <c r="A56" t="s">
        <v>148</v>
      </c>
      <c r="B56" t="s">
        <v>11</v>
      </c>
      <c r="C56" t="s">
        <v>149</v>
      </c>
      <c r="D56" t="s">
        <v>37</v>
      </c>
      <c r="E56" t="s">
        <v>20</v>
      </c>
      <c r="F56">
        <v>2019</v>
      </c>
      <c r="G56">
        <v>9.1999999999999993</v>
      </c>
      <c r="H56">
        <v>60</v>
      </c>
      <c r="I56" t="s">
        <v>76</v>
      </c>
      <c r="J56">
        <v>2026</v>
      </c>
    </row>
    <row r="57" spans="1:10" x14ac:dyDescent="0.3">
      <c r="A57" t="s">
        <v>150</v>
      </c>
      <c r="B57" t="s">
        <v>11</v>
      </c>
      <c r="C57" t="s">
        <v>151</v>
      </c>
      <c r="D57" t="s">
        <v>152</v>
      </c>
      <c r="E57" t="s">
        <v>85</v>
      </c>
      <c r="F57">
        <v>2015</v>
      </c>
      <c r="G57">
        <v>7.8</v>
      </c>
      <c r="H57">
        <v>45</v>
      </c>
      <c r="I57" t="s">
        <v>231</v>
      </c>
      <c r="J57">
        <v>2020</v>
      </c>
    </row>
    <row r="58" spans="1:10" x14ac:dyDescent="0.3">
      <c r="A58" t="s">
        <v>153</v>
      </c>
      <c r="B58" t="s">
        <v>23</v>
      </c>
      <c r="C58" t="s">
        <v>154</v>
      </c>
      <c r="D58" t="s">
        <v>33</v>
      </c>
      <c r="E58" t="s">
        <v>59</v>
      </c>
      <c r="F58">
        <v>2025</v>
      </c>
      <c r="G58">
        <v>6.6</v>
      </c>
      <c r="H58">
        <v>100</v>
      </c>
      <c r="I58" t="s">
        <v>76</v>
      </c>
      <c r="J58">
        <v>2020</v>
      </c>
    </row>
    <row r="59" spans="1:10" x14ac:dyDescent="0.3">
      <c r="A59" t="s">
        <v>155</v>
      </c>
      <c r="B59" t="s">
        <v>17</v>
      </c>
      <c r="C59" t="s">
        <v>100</v>
      </c>
      <c r="D59" t="s">
        <v>55</v>
      </c>
      <c r="E59" t="s">
        <v>59</v>
      </c>
      <c r="F59">
        <v>2016</v>
      </c>
      <c r="G59">
        <v>8.6999999999999993</v>
      </c>
      <c r="H59">
        <v>135</v>
      </c>
      <c r="I59" t="s">
        <v>76</v>
      </c>
      <c r="J59">
        <v>2026</v>
      </c>
    </row>
    <row r="60" spans="1:10" x14ac:dyDescent="0.3">
      <c r="A60" t="s">
        <v>156</v>
      </c>
      <c r="B60" t="s">
        <v>64</v>
      </c>
      <c r="C60" t="s">
        <v>157</v>
      </c>
      <c r="D60" t="s">
        <v>13</v>
      </c>
      <c r="E60" t="s">
        <v>34</v>
      </c>
      <c r="F60">
        <v>2022</v>
      </c>
      <c r="G60">
        <v>7.3</v>
      </c>
      <c r="H60">
        <v>135</v>
      </c>
      <c r="I60" t="s">
        <v>30</v>
      </c>
      <c r="J60">
        <v>2024</v>
      </c>
    </row>
    <row r="61" spans="1:10" x14ac:dyDescent="0.3">
      <c r="A61" t="s">
        <v>158</v>
      </c>
      <c r="B61" t="s">
        <v>17</v>
      </c>
      <c r="C61" t="s">
        <v>159</v>
      </c>
      <c r="D61" t="s">
        <v>13</v>
      </c>
      <c r="E61" t="s">
        <v>59</v>
      </c>
      <c r="F61">
        <v>2023</v>
      </c>
      <c r="G61">
        <v>9.4</v>
      </c>
      <c r="H61">
        <v>45</v>
      </c>
      <c r="I61" t="s">
        <v>30</v>
      </c>
      <c r="J61">
        <v>2024</v>
      </c>
    </row>
    <row r="62" spans="1:10" x14ac:dyDescent="0.3">
      <c r="A62" t="s">
        <v>160</v>
      </c>
      <c r="B62" t="s">
        <v>17</v>
      </c>
      <c r="C62" t="s">
        <v>161</v>
      </c>
      <c r="D62" t="s">
        <v>162</v>
      </c>
      <c r="E62" t="s">
        <v>44</v>
      </c>
      <c r="F62">
        <v>2019</v>
      </c>
      <c r="G62">
        <v>6.7</v>
      </c>
      <c r="H62">
        <v>50</v>
      </c>
      <c r="I62" t="s">
        <v>231</v>
      </c>
      <c r="J62">
        <v>2021</v>
      </c>
    </row>
    <row r="63" spans="1:10" x14ac:dyDescent="0.3">
      <c r="A63" t="s">
        <v>163</v>
      </c>
      <c r="B63" t="s">
        <v>64</v>
      </c>
      <c r="C63" t="s">
        <v>164</v>
      </c>
      <c r="D63" t="s">
        <v>29</v>
      </c>
      <c r="E63" t="s">
        <v>59</v>
      </c>
      <c r="F63">
        <v>2016</v>
      </c>
      <c r="G63">
        <v>9.1999999999999993</v>
      </c>
      <c r="H63">
        <v>60</v>
      </c>
      <c r="I63" t="s">
        <v>30</v>
      </c>
      <c r="J63">
        <v>2016</v>
      </c>
    </row>
    <row r="64" spans="1:10" x14ac:dyDescent="0.3">
      <c r="A64" t="s">
        <v>165</v>
      </c>
      <c r="B64" t="s">
        <v>64</v>
      </c>
      <c r="C64" t="s">
        <v>166</v>
      </c>
      <c r="D64" t="s">
        <v>167</v>
      </c>
      <c r="E64" t="s">
        <v>52</v>
      </c>
      <c r="F64">
        <v>2019</v>
      </c>
      <c r="G64">
        <v>7.1</v>
      </c>
      <c r="H64">
        <v>135</v>
      </c>
      <c r="I64" t="s">
        <v>30</v>
      </c>
      <c r="J64">
        <v>2026</v>
      </c>
    </row>
    <row r="65" spans="1:10" x14ac:dyDescent="0.3">
      <c r="A65" t="s">
        <v>168</v>
      </c>
      <c r="B65" t="s">
        <v>17</v>
      </c>
      <c r="C65" t="s">
        <v>169</v>
      </c>
      <c r="D65" t="s">
        <v>55</v>
      </c>
      <c r="E65" t="s">
        <v>85</v>
      </c>
      <c r="F65">
        <v>2021</v>
      </c>
      <c r="G65">
        <v>9.5</v>
      </c>
      <c r="H65">
        <v>110</v>
      </c>
      <c r="I65" t="s">
        <v>79</v>
      </c>
      <c r="J65">
        <v>2022</v>
      </c>
    </row>
    <row r="66" spans="1:10" x14ac:dyDescent="0.3">
      <c r="A66" t="s">
        <v>170</v>
      </c>
      <c r="B66" t="s">
        <v>17</v>
      </c>
      <c r="C66" t="s">
        <v>92</v>
      </c>
      <c r="D66" t="s">
        <v>33</v>
      </c>
      <c r="E66" t="s">
        <v>44</v>
      </c>
      <c r="F66">
        <v>2025</v>
      </c>
      <c r="G66">
        <v>0</v>
      </c>
      <c r="H66">
        <v>0</v>
      </c>
      <c r="I66" t="s">
        <v>231</v>
      </c>
      <c r="J66">
        <v>2019</v>
      </c>
    </row>
    <row r="67" spans="1:10" x14ac:dyDescent="0.3">
      <c r="A67" t="s">
        <v>171</v>
      </c>
      <c r="B67" t="s">
        <v>17</v>
      </c>
      <c r="C67" t="s">
        <v>172</v>
      </c>
      <c r="D67" t="s">
        <v>33</v>
      </c>
      <c r="E67" t="s">
        <v>59</v>
      </c>
      <c r="F67">
        <v>2016</v>
      </c>
      <c r="G67">
        <v>6.6</v>
      </c>
      <c r="H67">
        <v>90</v>
      </c>
      <c r="I67" t="s">
        <v>231</v>
      </c>
      <c r="J67">
        <v>2023</v>
      </c>
    </row>
    <row r="68" spans="1:10" x14ac:dyDescent="0.3">
      <c r="A68" t="s">
        <v>173</v>
      </c>
      <c r="B68" t="s">
        <v>17</v>
      </c>
      <c r="C68" t="s">
        <v>98</v>
      </c>
      <c r="D68" t="s">
        <v>43</v>
      </c>
      <c r="E68" t="s">
        <v>52</v>
      </c>
      <c r="F68">
        <v>2018</v>
      </c>
      <c r="G68">
        <v>6.4</v>
      </c>
      <c r="H68">
        <v>100</v>
      </c>
      <c r="I68" t="s">
        <v>76</v>
      </c>
      <c r="J68">
        <v>2018</v>
      </c>
    </row>
    <row r="69" spans="1:10" x14ac:dyDescent="0.3">
      <c r="A69" t="s">
        <v>174</v>
      </c>
      <c r="B69" t="s">
        <v>17</v>
      </c>
      <c r="C69" t="s">
        <v>175</v>
      </c>
      <c r="D69" t="s">
        <v>51</v>
      </c>
      <c r="E69" t="s">
        <v>59</v>
      </c>
      <c r="F69">
        <v>2023</v>
      </c>
      <c r="G69">
        <v>8</v>
      </c>
      <c r="H69">
        <v>110</v>
      </c>
      <c r="I69" t="s">
        <v>48</v>
      </c>
      <c r="J69">
        <v>2023</v>
      </c>
    </row>
    <row r="70" spans="1:10" x14ac:dyDescent="0.3">
      <c r="A70" t="s">
        <v>176</v>
      </c>
      <c r="B70" t="s">
        <v>64</v>
      </c>
      <c r="C70" t="s">
        <v>177</v>
      </c>
      <c r="D70" t="s">
        <v>29</v>
      </c>
      <c r="E70" t="s">
        <v>59</v>
      </c>
      <c r="F70">
        <v>2016</v>
      </c>
      <c r="G70">
        <v>6.9</v>
      </c>
      <c r="H70">
        <v>50</v>
      </c>
      <c r="I70" t="s">
        <v>79</v>
      </c>
      <c r="J70">
        <v>2016</v>
      </c>
    </row>
    <row r="71" spans="1:10" x14ac:dyDescent="0.3">
      <c r="A71" t="s">
        <v>178</v>
      </c>
      <c r="B71" t="s">
        <v>17</v>
      </c>
      <c r="C71" t="s">
        <v>179</v>
      </c>
      <c r="D71" t="s">
        <v>51</v>
      </c>
      <c r="E71" t="s">
        <v>34</v>
      </c>
      <c r="F71">
        <v>2025</v>
      </c>
      <c r="G71">
        <v>9.4</v>
      </c>
      <c r="H71">
        <v>100</v>
      </c>
      <c r="I71" t="s">
        <v>21</v>
      </c>
      <c r="J71">
        <v>2018</v>
      </c>
    </row>
    <row r="72" spans="1:10" x14ac:dyDescent="0.3">
      <c r="A72" t="s">
        <v>180</v>
      </c>
      <c r="B72" t="s">
        <v>17</v>
      </c>
      <c r="C72" t="s">
        <v>181</v>
      </c>
      <c r="D72" t="s">
        <v>37</v>
      </c>
      <c r="E72" t="s">
        <v>59</v>
      </c>
      <c r="F72">
        <v>2024</v>
      </c>
      <c r="G72">
        <v>6.4</v>
      </c>
      <c r="H72">
        <v>45</v>
      </c>
      <c r="I72" t="s">
        <v>30</v>
      </c>
      <c r="J72">
        <v>2021</v>
      </c>
    </row>
    <row r="73" spans="1:10" x14ac:dyDescent="0.3">
      <c r="A73" t="s">
        <v>182</v>
      </c>
      <c r="B73" t="s">
        <v>11</v>
      </c>
      <c r="C73" t="s">
        <v>54</v>
      </c>
      <c r="D73" t="s">
        <v>37</v>
      </c>
      <c r="E73" t="s">
        <v>38</v>
      </c>
      <c r="F73">
        <v>2025</v>
      </c>
      <c r="G73">
        <v>5.8</v>
      </c>
      <c r="H73">
        <v>110</v>
      </c>
      <c r="I73" t="s">
        <v>76</v>
      </c>
      <c r="J73">
        <v>2016</v>
      </c>
    </row>
    <row r="74" spans="1:10" x14ac:dyDescent="0.3">
      <c r="A74" t="s">
        <v>183</v>
      </c>
      <c r="B74" t="s">
        <v>11</v>
      </c>
      <c r="C74" t="s">
        <v>113</v>
      </c>
      <c r="D74" t="s">
        <v>184</v>
      </c>
      <c r="E74" t="s">
        <v>38</v>
      </c>
      <c r="F74">
        <v>2023</v>
      </c>
      <c r="G74">
        <v>9.1999999999999993</v>
      </c>
      <c r="H74">
        <v>135</v>
      </c>
      <c r="I74" t="s">
        <v>231</v>
      </c>
      <c r="J74">
        <v>2016</v>
      </c>
    </row>
    <row r="75" spans="1:10" x14ac:dyDescent="0.3">
      <c r="A75" t="s">
        <v>185</v>
      </c>
      <c r="B75" t="s">
        <v>11</v>
      </c>
      <c r="C75" t="s">
        <v>186</v>
      </c>
      <c r="D75" t="s">
        <v>55</v>
      </c>
      <c r="E75" t="s">
        <v>44</v>
      </c>
      <c r="F75">
        <v>2018</v>
      </c>
      <c r="G75">
        <v>6.8</v>
      </c>
      <c r="H75">
        <v>110</v>
      </c>
      <c r="I75" t="s">
        <v>76</v>
      </c>
      <c r="J75">
        <v>2020</v>
      </c>
    </row>
    <row r="76" spans="1:10" x14ac:dyDescent="0.3">
      <c r="A76" t="s">
        <v>187</v>
      </c>
      <c r="B76" t="s">
        <v>11</v>
      </c>
      <c r="C76" t="s">
        <v>188</v>
      </c>
      <c r="D76" t="s">
        <v>19</v>
      </c>
      <c r="E76" t="s">
        <v>38</v>
      </c>
      <c r="F76">
        <v>2016</v>
      </c>
      <c r="G76">
        <v>7.3</v>
      </c>
      <c r="H76">
        <v>45</v>
      </c>
      <c r="I76" t="s">
        <v>30</v>
      </c>
      <c r="J76">
        <v>2022</v>
      </c>
    </row>
    <row r="77" spans="1:10" x14ac:dyDescent="0.3">
      <c r="A77" t="s">
        <v>189</v>
      </c>
      <c r="B77" t="s">
        <v>64</v>
      </c>
      <c r="C77" t="s">
        <v>190</v>
      </c>
      <c r="D77" t="s">
        <v>13</v>
      </c>
      <c r="E77" t="s">
        <v>59</v>
      </c>
      <c r="F77">
        <v>2021</v>
      </c>
      <c r="G77">
        <v>6</v>
      </c>
      <c r="H77">
        <v>135</v>
      </c>
      <c r="I77" t="s">
        <v>231</v>
      </c>
      <c r="J77">
        <v>2021</v>
      </c>
    </row>
    <row r="78" spans="1:10" x14ac:dyDescent="0.3">
      <c r="A78" t="s">
        <v>191</v>
      </c>
      <c r="B78" t="s">
        <v>11</v>
      </c>
      <c r="C78" t="s">
        <v>107</v>
      </c>
      <c r="D78" t="s">
        <v>62</v>
      </c>
      <c r="E78" t="s">
        <v>44</v>
      </c>
      <c r="F78">
        <v>2023</v>
      </c>
      <c r="G78">
        <v>7</v>
      </c>
      <c r="H78">
        <v>110</v>
      </c>
      <c r="I78" t="s">
        <v>21</v>
      </c>
      <c r="J78">
        <v>2019</v>
      </c>
    </row>
    <row r="79" spans="1:10" x14ac:dyDescent="0.3">
      <c r="A79" t="s">
        <v>192</v>
      </c>
      <c r="B79" t="s">
        <v>17</v>
      </c>
      <c r="C79" t="s">
        <v>193</v>
      </c>
      <c r="D79" t="s">
        <v>184</v>
      </c>
      <c r="E79" t="s">
        <v>59</v>
      </c>
      <c r="F79">
        <v>2024</v>
      </c>
      <c r="G79">
        <v>8.9</v>
      </c>
      <c r="H79">
        <v>110</v>
      </c>
      <c r="I79" t="s">
        <v>30</v>
      </c>
      <c r="J79">
        <v>2024</v>
      </c>
    </row>
    <row r="80" spans="1:10" x14ac:dyDescent="0.3">
      <c r="A80" t="s">
        <v>194</v>
      </c>
      <c r="B80" t="s">
        <v>17</v>
      </c>
      <c r="C80" t="s">
        <v>96</v>
      </c>
      <c r="D80" t="s">
        <v>62</v>
      </c>
      <c r="E80" t="s">
        <v>59</v>
      </c>
      <c r="F80">
        <v>2020</v>
      </c>
      <c r="G80">
        <v>7</v>
      </c>
      <c r="H80">
        <v>0</v>
      </c>
      <c r="I80" t="s">
        <v>21</v>
      </c>
      <c r="J80">
        <v>2024</v>
      </c>
    </row>
    <row r="81" spans="1:10" x14ac:dyDescent="0.3">
      <c r="A81" t="s">
        <v>195</v>
      </c>
      <c r="B81" t="s">
        <v>17</v>
      </c>
      <c r="C81" t="s">
        <v>196</v>
      </c>
      <c r="D81" t="s">
        <v>19</v>
      </c>
      <c r="E81" t="s">
        <v>44</v>
      </c>
      <c r="F81">
        <v>2024</v>
      </c>
      <c r="G81">
        <v>7.7</v>
      </c>
      <c r="H81">
        <v>45</v>
      </c>
      <c r="I81" t="s">
        <v>76</v>
      </c>
      <c r="J81">
        <v>2016</v>
      </c>
    </row>
    <row r="82" spans="1:10" x14ac:dyDescent="0.3">
      <c r="A82" t="s">
        <v>197</v>
      </c>
      <c r="B82" t="s">
        <v>11</v>
      </c>
      <c r="C82" t="s">
        <v>198</v>
      </c>
      <c r="D82" t="s">
        <v>33</v>
      </c>
      <c r="E82" t="s">
        <v>34</v>
      </c>
      <c r="F82">
        <v>2021</v>
      </c>
      <c r="G82">
        <v>6.9</v>
      </c>
      <c r="H82">
        <v>135</v>
      </c>
      <c r="I82" t="s">
        <v>231</v>
      </c>
      <c r="J82">
        <v>2026</v>
      </c>
    </row>
    <row r="83" spans="1:10" x14ac:dyDescent="0.3">
      <c r="A83" t="s">
        <v>199</v>
      </c>
      <c r="B83" t="s">
        <v>17</v>
      </c>
      <c r="C83" t="s">
        <v>68</v>
      </c>
      <c r="D83" t="s">
        <v>55</v>
      </c>
      <c r="E83" t="s">
        <v>38</v>
      </c>
      <c r="F83">
        <v>2023</v>
      </c>
      <c r="G83">
        <v>0</v>
      </c>
      <c r="H83">
        <v>0</v>
      </c>
      <c r="I83" t="s">
        <v>48</v>
      </c>
      <c r="J83">
        <v>2016</v>
      </c>
    </row>
    <row r="84" spans="1:10" x14ac:dyDescent="0.3">
      <c r="A84" t="s">
        <v>200</v>
      </c>
      <c r="B84" t="s">
        <v>11</v>
      </c>
      <c r="C84" t="s">
        <v>132</v>
      </c>
      <c r="D84" t="s">
        <v>43</v>
      </c>
      <c r="E84" t="s">
        <v>34</v>
      </c>
      <c r="F84">
        <v>2016</v>
      </c>
      <c r="G84">
        <v>6.8</v>
      </c>
      <c r="H84">
        <v>90</v>
      </c>
      <c r="I84" t="s">
        <v>231</v>
      </c>
      <c r="J84">
        <v>2019</v>
      </c>
    </row>
    <row r="85" spans="1:10" x14ac:dyDescent="0.3">
      <c r="A85" t="s">
        <v>201</v>
      </c>
      <c r="B85" t="s">
        <v>23</v>
      </c>
      <c r="C85" t="s">
        <v>202</v>
      </c>
      <c r="D85" t="s">
        <v>29</v>
      </c>
      <c r="E85" t="s">
        <v>34</v>
      </c>
      <c r="F85">
        <v>2018</v>
      </c>
      <c r="G85">
        <v>7.6</v>
      </c>
      <c r="H85">
        <v>110</v>
      </c>
      <c r="I85" t="s">
        <v>30</v>
      </c>
      <c r="J85">
        <v>2016</v>
      </c>
    </row>
    <row r="86" spans="1:10" x14ac:dyDescent="0.3">
      <c r="A86" t="s">
        <v>203</v>
      </c>
      <c r="B86" t="s">
        <v>23</v>
      </c>
      <c r="C86" t="s">
        <v>204</v>
      </c>
      <c r="D86" t="s">
        <v>33</v>
      </c>
      <c r="E86" t="s">
        <v>34</v>
      </c>
      <c r="F86">
        <v>2022</v>
      </c>
      <c r="G86">
        <v>5.6</v>
      </c>
      <c r="H86">
        <v>100</v>
      </c>
      <c r="I86" t="s">
        <v>21</v>
      </c>
      <c r="J86">
        <v>2026</v>
      </c>
    </row>
    <row r="87" spans="1:10" x14ac:dyDescent="0.3">
      <c r="A87" t="s">
        <v>205</v>
      </c>
      <c r="B87" t="s">
        <v>23</v>
      </c>
      <c r="C87" t="s">
        <v>206</v>
      </c>
      <c r="D87" t="s">
        <v>33</v>
      </c>
      <c r="E87" t="s">
        <v>34</v>
      </c>
      <c r="F87">
        <v>2025</v>
      </c>
      <c r="G87">
        <v>8.4</v>
      </c>
      <c r="H87">
        <v>150</v>
      </c>
      <c r="I87" t="s">
        <v>231</v>
      </c>
      <c r="J87">
        <v>2025</v>
      </c>
    </row>
    <row r="88" spans="1:10" x14ac:dyDescent="0.3">
      <c r="A88" t="s">
        <v>207</v>
      </c>
      <c r="B88" t="s">
        <v>11</v>
      </c>
      <c r="C88" t="s">
        <v>89</v>
      </c>
      <c r="D88" t="s">
        <v>152</v>
      </c>
      <c r="E88" t="s">
        <v>20</v>
      </c>
      <c r="F88">
        <v>2017</v>
      </c>
      <c r="G88">
        <v>6.7</v>
      </c>
      <c r="H88">
        <v>0</v>
      </c>
      <c r="I88" t="s">
        <v>30</v>
      </c>
      <c r="J88">
        <v>2019</v>
      </c>
    </row>
    <row r="89" spans="1:10" x14ac:dyDescent="0.3">
      <c r="A89" t="s">
        <v>208</v>
      </c>
      <c r="B89" t="s">
        <v>23</v>
      </c>
      <c r="C89" t="s">
        <v>209</v>
      </c>
      <c r="D89" t="s">
        <v>58</v>
      </c>
      <c r="E89" t="s">
        <v>59</v>
      </c>
      <c r="F89">
        <v>2018</v>
      </c>
      <c r="G89">
        <v>7.9</v>
      </c>
      <c r="H89">
        <v>100</v>
      </c>
      <c r="I89" t="s">
        <v>231</v>
      </c>
      <c r="J89">
        <v>2025</v>
      </c>
    </row>
    <row r="90" spans="1:10" x14ac:dyDescent="0.3">
      <c r="A90" t="s">
        <v>210</v>
      </c>
      <c r="B90" t="s">
        <v>23</v>
      </c>
      <c r="C90" t="s">
        <v>154</v>
      </c>
      <c r="D90" t="s">
        <v>126</v>
      </c>
      <c r="E90" t="s">
        <v>85</v>
      </c>
      <c r="F90">
        <v>2024</v>
      </c>
      <c r="G90">
        <v>8.9</v>
      </c>
      <c r="H90">
        <v>45</v>
      </c>
      <c r="I90" t="s">
        <v>79</v>
      </c>
      <c r="J90">
        <v>2016</v>
      </c>
    </row>
    <row r="91" spans="1:10" x14ac:dyDescent="0.3">
      <c r="A91" t="s">
        <v>211</v>
      </c>
      <c r="B91" t="s">
        <v>17</v>
      </c>
      <c r="C91" t="s">
        <v>212</v>
      </c>
      <c r="D91" t="s">
        <v>130</v>
      </c>
      <c r="E91" t="s">
        <v>85</v>
      </c>
      <c r="F91">
        <v>2016</v>
      </c>
      <c r="G91">
        <v>5.9</v>
      </c>
      <c r="H91">
        <v>110</v>
      </c>
      <c r="I91" t="s">
        <v>30</v>
      </c>
      <c r="J91">
        <v>2025</v>
      </c>
    </row>
    <row r="92" spans="1:10" x14ac:dyDescent="0.3">
      <c r="A92" t="s">
        <v>213</v>
      </c>
      <c r="B92" t="s">
        <v>64</v>
      </c>
      <c r="C92" t="s">
        <v>166</v>
      </c>
      <c r="D92" t="s">
        <v>75</v>
      </c>
      <c r="E92" t="s">
        <v>44</v>
      </c>
      <c r="F92">
        <v>2015</v>
      </c>
      <c r="G92">
        <v>8.1999999999999993</v>
      </c>
      <c r="H92">
        <v>110</v>
      </c>
      <c r="I92" t="s">
        <v>15</v>
      </c>
      <c r="J92">
        <v>2020</v>
      </c>
    </row>
    <row r="93" spans="1:10" x14ac:dyDescent="0.3">
      <c r="A93" t="s">
        <v>214</v>
      </c>
      <c r="B93" t="s">
        <v>11</v>
      </c>
      <c r="C93" t="s">
        <v>215</v>
      </c>
      <c r="D93" t="s">
        <v>162</v>
      </c>
      <c r="E93" t="s">
        <v>59</v>
      </c>
      <c r="F93">
        <v>2023</v>
      </c>
      <c r="G93">
        <v>8.1999999999999993</v>
      </c>
      <c r="H93">
        <v>60</v>
      </c>
      <c r="I93" t="s">
        <v>21</v>
      </c>
      <c r="J93">
        <v>2022</v>
      </c>
    </row>
    <row r="94" spans="1:10" x14ac:dyDescent="0.3">
      <c r="A94" t="s">
        <v>216</v>
      </c>
      <c r="B94" t="s">
        <v>64</v>
      </c>
      <c r="C94" t="s">
        <v>217</v>
      </c>
      <c r="D94" t="s">
        <v>37</v>
      </c>
      <c r="E94" t="s">
        <v>44</v>
      </c>
      <c r="F94">
        <v>2024</v>
      </c>
      <c r="G94">
        <v>7.6</v>
      </c>
      <c r="H94">
        <v>120</v>
      </c>
      <c r="I94" t="s">
        <v>15</v>
      </c>
      <c r="J94">
        <v>2020</v>
      </c>
    </row>
    <row r="95" spans="1:10" x14ac:dyDescent="0.3">
      <c r="A95" t="s">
        <v>218</v>
      </c>
      <c r="B95" t="s">
        <v>23</v>
      </c>
      <c r="C95" t="s">
        <v>219</v>
      </c>
      <c r="D95" t="s">
        <v>55</v>
      </c>
      <c r="E95" t="s">
        <v>59</v>
      </c>
      <c r="F95">
        <v>2025</v>
      </c>
      <c r="G95">
        <v>6.9</v>
      </c>
      <c r="H95">
        <v>60</v>
      </c>
      <c r="I95" t="s">
        <v>48</v>
      </c>
      <c r="J95">
        <v>2017</v>
      </c>
    </row>
    <row r="96" spans="1:10" x14ac:dyDescent="0.3">
      <c r="A96" t="s">
        <v>220</v>
      </c>
      <c r="B96" t="s">
        <v>23</v>
      </c>
      <c r="C96" t="s">
        <v>175</v>
      </c>
      <c r="D96" t="s">
        <v>37</v>
      </c>
      <c r="E96" t="s">
        <v>20</v>
      </c>
      <c r="F96">
        <v>2023</v>
      </c>
      <c r="G96">
        <v>5.7</v>
      </c>
      <c r="H96">
        <v>135</v>
      </c>
      <c r="I96" t="s">
        <v>15</v>
      </c>
      <c r="J96">
        <v>2021</v>
      </c>
    </row>
    <row r="97" spans="1:10" x14ac:dyDescent="0.3">
      <c r="A97" t="s">
        <v>221</v>
      </c>
      <c r="B97" t="s">
        <v>23</v>
      </c>
      <c r="C97" t="s">
        <v>222</v>
      </c>
      <c r="D97" t="s">
        <v>19</v>
      </c>
      <c r="E97" t="s">
        <v>59</v>
      </c>
      <c r="F97">
        <v>2025</v>
      </c>
      <c r="G97">
        <v>8.1999999999999993</v>
      </c>
      <c r="H97">
        <v>110</v>
      </c>
      <c r="I97" t="s">
        <v>48</v>
      </c>
      <c r="J97">
        <v>2025</v>
      </c>
    </row>
    <row r="98" spans="1:10" x14ac:dyDescent="0.3">
      <c r="A98" t="s">
        <v>223</v>
      </c>
      <c r="B98" t="s">
        <v>17</v>
      </c>
      <c r="C98" t="s">
        <v>125</v>
      </c>
      <c r="D98" t="s">
        <v>62</v>
      </c>
      <c r="E98" t="s">
        <v>59</v>
      </c>
      <c r="F98">
        <v>2022</v>
      </c>
      <c r="G98">
        <v>6.4</v>
      </c>
      <c r="H98">
        <v>135</v>
      </c>
      <c r="I98" t="s">
        <v>21</v>
      </c>
      <c r="J98">
        <v>2017</v>
      </c>
    </row>
    <row r="99" spans="1:10" x14ac:dyDescent="0.3">
      <c r="A99" t="s">
        <v>224</v>
      </c>
      <c r="B99" t="s">
        <v>64</v>
      </c>
      <c r="C99" t="s">
        <v>225</v>
      </c>
      <c r="D99" t="s">
        <v>152</v>
      </c>
      <c r="E99" t="s">
        <v>38</v>
      </c>
      <c r="F99">
        <v>2019</v>
      </c>
      <c r="G99">
        <v>7.7</v>
      </c>
      <c r="H99">
        <v>150</v>
      </c>
      <c r="I99" t="s">
        <v>21</v>
      </c>
      <c r="J99">
        <v>2018</v>
      </c>
    </row>
    <row r="100" spans="1:10" x14ac:dyDescent="0.3">
      <c r="A100" t="s">
        <v>226</v>
      </c>
      <c r="B100" t="s">
        <v>17</v>
      </c>
      <c r="C100" t="s">
        <v>227</v>
      </c>
      <c r="D100" t="s">
        <v>228</v>
      </c>
      <c r="E100" t="s">
        <v>85</v>
      </c>
      <c r="F100">
        <v>2020</v>
      </c>
      <c r="G100">
        <v>9</v>
      </c>
      <c r="H100">
        <v>60</v>
      </c>
      <c r="I100" t="s">
        <v>231</v>
      </c>
      <c r="J100">
        <v>2018</v>
      </c>
    </row>
    <row r="101" spans="1:10" x14ac:dyDescent="0.3">
      <c r="A101" t="s">
        <v>229</v>
      </c>
      <c r="B101" t="s">
        <v>17</v>
      </c>
      <c r="C101" t="s">
        <v>230</v>
      </c>
      <c r="D101" t="s">
        <v>37</v>
      </c>
      <c r="E101" t="s">
        <v>85</v>
      </c>
      <c r="F101">
        <v>2018</v>
      </c>
      <c r="G101">
        <v>8.9</v>
      </c>
      <c r="H101">
        <v>90</v>
      </c>
      <c r="I101" t="s">
        <v>48</v>
      </c>
      <c r="J101">
        <v>2019</v>
      </c>
    </row>
    <row r="102" spans="1:10" x14ac:dyDescent="0.3">
      <c r="B102">
        <f>COUNTIF(B2:B101,"Movie")</f>
        <v>18</v>
      </c>
      <c r="D102">
        <f>COUNTA(_xlfn.UNIQUE(D2:D101))</f>
        <v>22</v>
      </c>
      <c r="E102">
        <f>COUNTA(_xlfn.UNIQUE(E2:E101))</f>
        <v>7</v>
      </c>
    </row>
    <row r="103" spans="1:10" x14ac:dyDescent="0.3">
      <c r="B103">
        <f>COUNTIF(B2:B101,"TV Show")</f>
        <v>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E8C24-91A2-4160-BD79-381942EA31EF}">
  <dimension ref="A1:B133"/>
  <sheetViews>
    <sheetView showGridLines="0" topLeftCell="A107" zoomScale="69" workbookViewId="0">
      <selection activeCell="B85" sqref="B85"/>
    </sheetView>
  </sheetViews>
  <sheetFormatPr defaultRowHeight="14.4" x14ac:dyDescent="0.3"/>
  <cols>
    <col min="1" max="1" width="12.5546875" bestFit="1" customWidth="1"/>
    <col min="2" max="2" width="21.109375" customWidth="1"/>
    <col min="3" max="3" width="13.88671875" bestFit="1" customWidth="1"/>
  </cols>
  <sheetData>
    <row r="1" spans="1:2" x14ac:dyDescent="0.3">
      <c r="A1" s="1" t="s">
        <v>232</v>
      </c>
      <c r="B1" s="2" t="s">
        <v>234</v>
      </c>
    </row>
    <row r="2" spans="1:2" x14ac:dyDescent="0.3">
      <c r="A2" s="3" t="s">
        <v>64</v>
      </c>
      <c r="B2" s="4">
        <v>18</v>
      </c>
    </row>
    <row r="3" spans="1:2" x14ac:dyDescent="0.3">
      <c r="A3" s="3" t="s">
        <v>11</v>
      </c>
      <c r="B3" s="4">
        <v>82</v>
      </c>
    </row>
    <row r="4" spans="1:2" x14ac:dyDescent="0.3">
      <c r="A4" s="3" t="s">
        <v>233</v>
      </c>
      <c r="B4" s="4">
        <v>100</v>
      </c>
    </row>
    <row r="18" spans="1:2" x14ac:dyDescent="0.3">
      <c r="A18" s="1" t="s">
        <v>232</v>
      </c>
      <c r="B18" s="2" t="s">
        <v>234</v>
      </c>
    </row>
    <row r="19" spans="1:2" x14ac:dyDescent="0.3">
      <c r="A19" s="3" t="s">
        <v>152</v>
      </c>
      <c r="B19" s="4">
        <v>3</v>
      </c>
    </row>
    <row r="20" spans="1:2" x14ac:dyDescent="0.3">
      <c r="A20" s="3" t="s">
        <v>167</v>
      </c>
      <c r="B20" s="4">
        <v>1</v>
      </c>
    </row>
    <row r="21" spans="1:2" x14ac:dyDescent="0.3">
      <c r="A21" s="3" t="s">
        <v>126</v>
      </c>
      <c r="B21" s="4">
        <v>2</v>
      </c>
    </row>
    <row r="22" spans="1:2" x14ac:dyDescent="0.3">
      <c r="A22" s="3" t="s">
        <v>105</v>
      </c>
      <c r="B22" s="4">
        <v>1</v>
      </c>
    </row>
    <row r="23" spans="1:2" x14ac:dyDescent="0.3">
      <c r="A23" s="3" t="s">
        <v>75</v>
      </c>
      <c r="B23" s="4">
        <v>2</v>
      </c>
    </row>
    <row r="24" spans="1:2" x14ac:dyDescent="0.3">
      <c r="A24" s="3" t="s">
        <v>25</v>
      </c>
      <c r="B24" s="4">
        <v>1</v>
      </c>
    </row>
    <row r="25" spans="1:2" x14ac:dyDescent="0.3">
      <c r="A25" s="3" t="s">
        <v>228</v>
      </c>
      <c r="B25" s="4">
        <v>1</v>
      </c>
    </row>
    <row r="26" spans="1:2" x14ac:dyDescent="0.3">
      <c r="A26" s="3" t="s">
        <v>130</v>
      </c>
      <c r="B26" s="4">
        <v>2</v>
      </c>
    </row>
    <row r="27" spans="1:2" x14ac:dyDescent="0.3">
      <c r="A27" s="3" t="s">
        <v>33</v>
      </c>
      <c r="B27" s="4">
        <v>13</v>
      </c>
    </row>
    <row r="28" spans="1:2" x14ac:dyDescent="0.3">
      <c r="A28" s="3" t="s">
        <v>82</v>
      </c>
      <c r="B28" s="4">
        <v>1</v>
      </c>
    </row>
    <row r="29" spans="1:2" x14ac:dyDescent="0.3">
      <c r="A29" s="3" t="s">
        <v>13</v>
      </c>
      <c r="B29" s="4">
        <v>10</v>
      </c>
    </row>
    <row r="30" spans="1:2" x14ac:dyDescent="0.3">
      <c r="A30" s="3" t="s">
        <v>162</v>
      </c>
      <c r="B30" s="4">
        <v>2</v>
      </c>
    </row>
    <row r="31" spans="1:2" x14ac:dyDescent="0.3">
      <c r="A31" s="3" t="s">
        <v>29</v>
      </c>
      <c r="B31" s="4">
        <v>7</v>
      </c>
    </row>
    <row r="32" spans="1:2" x14ac:dyDescent="0.3">
      <c r="A32" s="3" t="s">
        <v>62</v>
      </c>
      <c r="B32" s="4">
        <v>9</v>
      </c>
    </row>
    <row r="33" spans="1:2" x14ac:dyDescent="0.3">
      <c r="A33" s="3" t="s">
        <v>184</v>
      </c>
      <c r="B33" s="4">
        <v>2</v>
      </c>
    </row>
    <row r="34" spans="1:2" x14ac:dyDescent="0.3">
      <c r="A34" s="3" t="s">
        <v>51</v>
      </c>
      <c r="B34" s="4">
        <v>6</v>
      </c>
    </row>
    <row r="35" spans="1:2" x14ac:dyDescent="0.3">
      <c r="A35" s="3" t="s">
        <v>58</v>
      </c>
      <c r="B35" s="4">
        <v>3</v>
      </c>
    </row>
    <row r="36" spans="1:2" x14ac:dyDescent="0.3">
      <c r="A36" s="3" t="s">
        <v>19</v>
      </c>
      <c r="B36" s="4">
        <v>5</v>
      </c>
    </row>
    <row r="37" spans="1:2" x14ac:dyDescent="0.3">
      <c r="A37" s="3" t="s">
        <v>43</v>
      </c>
      <c r="B37" s="4">
        <v>3</v>
      </c>
    </row>
    <row r="38" spans="1:2" x14ac:dyDescent="0.3">
      <c r="A38" s="3" t="s">
        <v>37</v>
      </c>
      <c r="B38" s="4">
        <v>11</v>
      </c>
    </row>
    <row r="39" spans="1:2" x14ac:dyDescent="0.3">
      <c r="A39" s="3" t="s">
        <v>55</v>
      </c>
      <c r="B39" s="4">
        <v>12</v>
      </c>
    </row>
    <row r="40" spans="1:2" x14ac:dyDescent="0.3">
      <c r="A40" s="3" t="s">
        <v>47</v>
      </c>
      <c r="B40" s="4">
        <v>3</v>
      </c>
    </row>
    <row r="41" spans="1:2" x14ac:dyDescent="0.3">
      <c r="A41" s="3" t="s">
        <v>233</v>
      </c>
      <c r="B41" s="4">
        <v>100</v>
      </c>
    </row>
    <row r="44" spans="1:2" x14ac:dyDescent="0.3">
      <c r="A44" s="1" t="s">
        <v>232</v>
      </c>
      <c r="B44" s="2" t="s">
        <v>234</v>
      </c>
    </row>
    <row r="45" spans="1:2" x14ac:dyDescent="0.3">
      <c r="A45" s="3" t="s">
        <v>20</v>
      </c>
      <c r="B45" s="4">
        <v>10</v>
      </c>
    </row>
    <row r="46" spans="1:2" x14ac:dyDescent="0.3">
      <c r="A46" s="3" t="s">
        <v>34</v>
      </c>
      <c r="B46" s="4">
        <v>15</v>
      </c>
    </row>
    <row r="47" spans="1:2" x14ac:dyDescent="0.3">
      <c r="A47" s="3" t="s">
        <v>38</v>
      </c>
      <c r="B47" s="4">
        <v>9</v>
      </c>
    </row>
    <row r="48" spans="1:2" x14ac:dyDescent="0.3">
      <c r="A48" s="3" t="s">
        <v>85</v>
      </c>
      <c r="B48" s="4">
        <v>11</v>
      </c>
    </row>
    <row r="49" spans="1:2" x14ac:dyDescent="0.3">
      <c r="A49" s="3" t="s">
        <v>52</v>
      </c>
      <c r="B49" s="4">
        <v>9</v>
      </c>
    </row>
    <row r="50" spans="1:2" x14ac:dyDescent="0.3">
      <c r="A50" s="3" t="s">
        <v>44</v>
      </c>
      <c r="B50" s="4">
        <v>14</v>
      </c>
    </row>
    <row r="51" spans="1:2" x14ac:dyDescent="0.3">
      <c r="A51" s="3" t="s">
        <v>59</v>
      </c>
      <c r="B51" s="4">
        <v>32</v>
      </c>
    </row>
    <row r="52" spans="1:2" x14ac:dyDescent="0.3">
      <c r="A52" s="3" t="s">
        <v>233</v>
      </c>
      <c r="B52" s="4">
        <v>100</v>
      </c>
    </row>
    <row r="62" spans="1:2" x14ac:dyDescent="0.3">
      <c r="A62" s="1" t="s">
        <v>232</v>
      </c>
      <c r="B62" s="2" t="s">
        <v>235</v>
      </c>
    </row>
    <row r="63" spans="1:2" x14ac:dyDescent="0.3">
      <c r="A63" s="3" t="s">
        <v>152</v>
      </c>
      <c r="B63" s="4">
        <v>7.3999999999999995</v>
      </c>
    </row>
    <row r="64" spans="1:2" x14ac:dyDescent="0.3">
      <c r="A64" s="3" t="s">
        <v>167</v>
      </c>
      <c r="B64" s="4">
        <v>7.1</v>
      </c>
    </row>
    <row r="65" spans="1:2" x14ac:dyDescent="0.3">
      <c r="A65" s="3" t="s">
        <v>126</v>
      </c>
      <c r="B65" s="4">
        <v>7.7</v>
      </c>
    </row>
    <row r="66" spans="1:2" x14ac:dyDescent="0.3">
      <c r="A66" s="3" t="s">
        <v>105</v>
      </c>
      <c r="B66" s="4">
        <v>7.1</v>
      </c>
    </row>
    <row r="67" spans="1:2" x14ac:dyDescent="0.3">
      <c r="A67" s="3" t="s">
        <v>75</v>
      </c>
      <c r="B67" s="4">
        <v>7.4499999999999993</v>
      </c>
    </row>
    <row r="68" spans="1:2" x14ac:dyDescent="0.3">
      <c r="A68" s="3" t="s">
        <v>25</v>
      </c>
      <c r="B68" s="4">
        <v>8.1</v>
      </c>
    </row>
    <row r="69" spans="1:2" x14ac:dyDescent="0.3">
      <c r="A69" s="3" t="s">
        <v>228</v>
      </c>
      <c r="B69" s="4">
        <v>9</v>
      </c>
    </row>
    <row r="70" spans="1:2" x14ac:dyDescent="0.3">
      <c r="A70" s="3" t="s">
        <v>130</v>
      </c>
      <c r="B70" s="4">
        <v>5.9</v>
      </c>
    </row>
    <row r="71" spans="1:2" x14ac:dyDescent="0.3">
      <c r="A71" s="3" t="s">
        <v>33</v>
      </c>
      <c r="B71" s="4">
        <v>6.4384615384615387</v>
      </c>
    </row>
    <row r="72" spans="1:2" x14ac:dyDescent="0.3">
      <c r="A72" s="3" t="s">
        <v>82</v>
      </c>
      <c r="B72" s="4">
        <v>7.1</v>
      </c>
    </row>
    <row r="73" spans="1:2" x14ac:dyDescent="0.3">
      <c r="A73" s="3" t="s">
        <v>13</v>
      </c>
      <c r="B73" s="4">
        <v>6.9599999999999991</v>
      </c>
    </row>
    <row r="74" spans="1:2" x14ac:dyDescent="0.3">
      <c r="A74" s="3" t="s">
        <v>162</v>
      </c>
      <c r="B74" s="4">
        <v>7.4499999999999993</v>
      </c>
    </row>
    <row r="75" spans="1:2" x14ac:dyDescent="0.3">
      <c r="A75" s="3" t="s">
        <v>29</v>
      </c>
      <c r="B75" s="4">
        <v>6.4285714285714288</v>
      </c>
    </row>
    <row r="76" spans="1:2" x14ac:dyDescent="0.3">
      <c r="A76" s="3" t="s">
        <v>62</v>
      </c>
      <c r="B76" s="4">
        <v>6.822222222222222</v>
      </c>
    </row>
    <row r="77" spans="1:2" x14ac:dyDescent="0.3">
      <c r="A77" s="3" t="s">
        <v>184</v>
      </c>
      <c r="B77" s="4">
        <v>9.0500000000000007</v>
      </c>
    </row>
    <row r="78" spans="1:2" x14ac:dyDescent="0.3">
      <c r="A78" s="3" t="s">
        <v>51</v>
      </c>
      <c r="B78" s="4">
        <v>7.8</v>
      </c>
    </row>
    <row r="79" spans="1:2" x14ac:dyDescent="0.3">
      <c r="A79" s="3" t="s">
        <v>58</v>
      </c>
      <c r="B79" s="4">
        <v>8</v>
      </c>
    </row>
    <row r="80" spans="1:2" x14ac:dyDescent="0.3">
      <c r="A80" s="3" t="s">
        <v>19</v>
      </c>
      <c r="B80" s="4">
        <v>7.06</v>
      </c>
    </row>
    <row r="81" spans="1:2" x14ac:dyDescent="0.3">
      <c r="A81" s="3" t="s">
        <v>43</v>
      </c>
      <c r="B81" s="4">
        <v>4.3999999999999995</v>
      </c>
    </row>
    <row r="82" spans="1:2" x14ac:dyDescent="0.3">
      <c r="A82" s="3" t="s">
        <v>37</v>
      </c>
      <c r="B82" s="4">
        <v>7.5636363636363635</v>
      </c>
    </row>
    <row r="83" spans="1:2" x14ac:dyDescent="0.3">
      <c r="A83" s="3" t="s">
        <v>55</v>
      </c>
      <c r="B83" s="4">
        <v>5.2</v>
      </c>
    </row>
    <row r="84" spans="1:2" x14ac:dyDescent="0.3">
      <c r="A84" s="3" t="s">
        <v>47</v>
      </c>
      <c r="B84" s="4">
        <v>5.2666666666666666</v>
      </c>
    </row>
    <row r="85" spans="1:2" x14ac:dyDescent="0.3">
      <c r="A85" s="3" t="s">
        <v>233</v>
      </c>
      <c r="B85" s="4">
        <v>6.7610000000000001</v>
      </c>
    </row>
    <row r="88" spans="1:2" x14ac:dyDescent="0.3">
      <c r="A88" s="1" t="s">
        <v>232</v>
      </c>
      <c r="B88" s="2" t="s">
        <v>234</v>
      </c>
    </row>
    <row r="89" spans="1:2" x14ac:dyDescent="0.3">
      <c r="A89" s="3">
        <v>2015</v>
      </c>
      <c r="B89" s="4">
        <v>5</v>
      </c>
    </row>
    <row r="90" spans="1:2" x14ac:dyDescent="0.3">
      <c r="A90" s="3">
        <v>2016</v>
      </c>
      <c r="B90" s="4">
        <v>16</v>
      </c>
    </row>
    <row r="91" spans="1:2" x14ac:dyDescent="0.3">
      <c r="A91" s="3">
        <v>2017</v>
      </c>
      <c r="B91" s="4">
        <v>4</v>
      </c>
    </row>
    <row r="92" spans="1:2" x14ac:dyDescent="0.3">
      <c r="A92" s="3">
        <v>2018</v>
      </c>
      <c r="B92" s="4">
        <v>10</v>
      </c>
    </row>
    <row r="93" spans="1:2" x14ac:dyDescent="0.3">
      <c r="A93" s="3">
        <v>2019</v>
      </c>
      <c r="B93" s="4">
        <v>10</v>
      </c>
    </row>
    <row r="94" spans="1:2" x14ac:dyDescent="0.3">
      <c r="A94" s="3">
        <v>2020</v>
      </c>
      <c r="B94" s="4">
        <v>6</v>
      </c>
    </row>
    <row r="95" spans="1:2" x14ac:dyDescent="0.3">
      <c r="A95" s="3">
        <v>2021</v>
      </c>
      <c r="B95" s="4">
        <v>6</v>
      </c>
    </row>
    <row r="96" spans="1:2" x14ac:dyDescent="0.3">
      <c r="A96" s="3">
        <v>2022</v>
      </c>
      <c r="B96" s="4">
        <v>7</v>
      </c>
    </row>
    <row r="97" spans="1:2" x14ac:dyDescent="0.3">
      <c r="A97" s="3">
        <v>2023</v>
      </c>
      <c r="B97" s="4">
        <v>12</v>
      </c>
    </row>
    <row r="98" spans="1:2" x14ac:dyDescent="0.3">
      <c r="A98" s="3">
        <v>2024</v>
      </c>
      <c r="B98" s="4">
        <v>11</v>
      </c>
    </row>
    <row r="99" spans="1:2" x14ac:dyDescent="0.3">
      <c r="A99" s="3">
        <v>2025</v>
      </c>
      <c r="B99" s="4">
        <v>13</v>
      </c>
    </row>
    <row r="100" spans="1:2" x14ac:dyDescent="0.3">
      <c r="A100" s="3" t="s">
        <v>233</v>
      </c>
      <c r="B100" s="4">
        <v>100</v>
      </c>
    </row>
    <row r="110" spans="1:2" x14ac:dyDescent="0.3">
      <c r="A110" s="1" t="s">
        <v>232</v>
      </c>
      <c r="B110" s="2" t="s">
        <v>236</v>
      </c>
    </row>
    <row r="111" spans="1:2" x14ac:dyDescent="0.3">
      <c r="A111" s="3" t="s">
        <v>152</v>
      </c>
      <c r="B111" s="4">
        <v>65</v>
      </c>
    </row>
    <row r="112" spans="1:2" x14ac:dyDescent="0.3">
      <c r="A112" s="3" t="s">
        <v>167</v>
      </c>
      <c r="B112" s="4">
        <v>135</v>
      </c>
    </row>
    <row r="113" spans="1:2" x14ac:dyDescent="0.3">
      <c r="A113" s="3" t="s">
        <v>126</v>
      </c>
      <c r="B113" s="4">
        <v>47.5</v>
      </c>
    </row>
    <row r="114" spans="1:2" x14ac:dyDescent="0.3">
      <c r="A114" s="3" t="s">
        <v>105</v>
      </c>
      <c r="B114" s="4">
        <v>120</v>
      </c>
    </row>
    <row r="115" spans="1:2" x14ac:dyDescent="0.3">
      <c r="A115" s="3" t="s">
        <v>75</v>
      </c>
      <c r="B115" s="4">
        <v>130</v>
      </c>
    </row>
    <row r="116" spans="1:2" x14ac:dyDescent="0.3">
      <c r="A116" s="3" t="s">
        <v>25</v>
      </c>
      <c r="B116" s="4">
        <v>90</v>
      </c>
    </row>
    <row r="117" spans="1:2" x14ac:dyDescent="0.3">
      <c r="A117" s="3" t="s">
        <v>228</v>
      </c>
      <c r="B117" s="4">
        <v>60</v>
      </c>
    </row>
    <row r="118" spans="1:2" x14ac:dyDescent="0.3">
      <c r="A118" s="3" t="s">
        <v>130</v>
      </c>
      <c r="B118" s="4">
        <v>80</v>
      </c>
    </row>
    <row r="119" spans="1:2" x14ac:dyDescent="0.3">
      <c r="A119" s="3" t="s">
        <v>33</v>
      </c>
      <c r="B119" s="4">
        <v>88.84615384615384</v>
      </c>
    </row>
    <row r="120" spans="1:2" x14ac:dyDescent="0.3">
      <c r="A120" s="3" t="s">
        <v>82</v>
      </c>
      <c r="B120" s="4">
        <v>50</v>
      </c>
    </row>
    <row r="121" spans="1:2" x14ac:dyDescent="0.3">
      <c r="A121" s="3" t="s">
        <v>13</v>
      </c>
      <c r="B121" s="4">
        <v>91</v>
      </c>
    </row>
    <row r="122" spans="1:2" x14ac:dyDescent="0.3">
      <c r="A122" s="3" t="s">
        <v>162</v>
      </c>
      <c r="B122" s="4">
        <v>55</v>
      </c>
    </row>
    <row r="123" spans="1:2" x14ac:dyDescent="0.3">
      <c r="A123" s="3" t="s">
        <v>29</v>
      </c>
      <c r="B123" s="4">
        <v>80.714285714285708</v>
      </c>
    </row>
    <row r="124" spans="1:2" x14ac:dyDescent="0.3">
      <c r="A124" s="3" t="s">
        <v>62</v>
      </c>
      <c r="B124" s="4">
        <v>90</v>
      </c>
    </row>
    <row r="125" spans="1:2" x14ac:dyDescent="0.3">
      <c r="A125" s="3" t="s">
        <v>184</v>
      </c>
      <c r="B125" s="4">
        <v>122.5</v>
      </c>
    </row>
    <row r="126" spans="1:2" x14ac:dyDescent="0.3">
      <c r="A126" s="3" t="s">
        <v>51</v>
      </c>
      <c r="B126" s="4">
        <v>100</v>
      </c>
    </row>
    <row r="127" spans="1:2" x14ac:dyDescent="0.3">
      <c r="A127" s="3" t="s">
        <v>58</v>
      </c>
      <c r="B127" s="4">
        <v>98.333333333333329</v>
      </c>
    </row>
    <row r="128" spans="1:2" x14ac:dyDescent="0.3">
      <c r="A128" s="3" t="s">
        <v>19</v>
      </c>
      <c r="B128" s="4">
        <v>94</v>
      </c>
    </row>
    <row r="129" spans="1:2" x14ac:dyDescent="0.3">
      <c r="A129" s="3" t="s">
        <v>43</v>
      </c>
      <c r="B129" s="4">
        <v>80</v>
      </c>
    </row>
    <row r="130" spans="1:2" x14ac:dyDescent="0.3">
      <c r="A130" s="3" t="s">
        <v>37</v>
      </c>
      <c r="B130" s="4">
        <v>86.36363636363636</v>
      </c>
    </row>
    <row r="131" spans="1:2" x14ac:dyDescent="0.3">
      <c r="A131" s="3" t="s">
        <v>55</v>
      </c>
      <c r="B131" s="4">
        <v>87.916666666666671</v>
      </c>
    </row>
    <row r="132" spans="1:2" x14ac:dyDescent="0.3">
      <c r="A132" s="3" t="s">
        <v>47</v>
      </c>
      <c r="B132" s="4">
        <v>85</v>
      </c>
    </row>
    <row r="133" spans="1:2" x14ac:dyDescent="0.3">
      <c r="A133" s="3" t="s">
        <v>233</v>
      </c>
      <c r="B133" s="4">
        <v>88.25</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9672-EDE0-4EE7-A6B2-560ADA10F0E6}">
  <dimension ref="A1:Z9"/>
  <sheetViews>
    <sheetView showGridLines="0" tabSelected="1" zoomScale="39" workbookViewId="0">
      <selection activeCell="X53" sqref="X53"/>
    </sheetView>
  </sheetViews>
  <sheetFormatPr defaultRowHeight="14.4" x14ac:dyDescent="0.3"/>
  <sheetData>
    <row r="1" spans="1:26" ht="25.8" x14ac:dyDescent="0.3">
      <c r="A1" s="5" t="s">
        <v>242</v>
      </c>
      <c r="B1" s="6"/>
      <c r="C1" s="6"/>
      <c r="D1" s="6"/>
      <c r="E1" s="6"/>
      <c r="F1" s="6"/>
      <c r="G1" s="6"/>
      <c r="H1" s="6"/>
      <c r="I1" s="6"/>
      <c r="J1" s="6"/>
      <c r="K1" s="6"/>
      <c r="L1" s="6"/>
      <c r="M1" s="6"/>
      <c r="N1" s="6"/>
      <c r="O1" s="6"/>
      <c r="P1" s="6"/>
      <c r="Q1" s="6"/>
      <c r="R1" s="6"/>
      <c r="S1" s="6"/>
      <c r="T1" s="6"/>
      <c r="U1" s="6"/>
      <c r="V1" s="6"/>
      <c r="W1" s="6"/>
      <c r="X1" s="6"/>
      <c r="Y1" s="6"/>
      <c r="Z1" s="6"/>
    </row>
    <row r="2" spans="1:26" ht="15" thickBot="1" x14ac:dyDescent="0.35"/>
    <row r="3" spans="1:26" ht="18" x14ac:dyDescent="0.35">
      <c r="B3" s="16"/>
      <c r="C3" s="17"/>
      <c r="D3" s="18"/>
      <c r="G3" s="8"/>
      <c r="H3" s="9"/>
      <c r="I3" s="10"/>
      <c r="L3" s="8"/>
      <c r="M3" s="9"/>
      <c r="N3" s="10"/>
      <c r="Q3" s="8"/>
      <c r="R3" s="9"/>
      <c r="S3" s="10"/>
      <c r="V3" s="28"/>
      <c r="W3" s="8"/>
      <c r="X3" s="9"/>
      <c r="Y3" s="10"/>
    </row>
    <row r="4" spans="1:26" ht="23.4" x14ac:dyDescent="0.45">
      <c r="B4" s="26" t="s">
        <v>237</v>
      </c>
      <c r="C4" s="20"/>
      <c r="D4" s="21"/>
      <c r="G4" s="25" t="s">
        <v>238</v>
      </c>
      <c r="H4" s="7"/>
      <c r="I4" s="12"/>
      <c r="L4" s="25" t="s">
        <v>239</v>
      </c>
      <c r="M4" s="7"/>
      <c r="N4" s="12"/>
      <c r="Q4" s="25" t="s">
        <v>240</v>
      </c>
      <c r="R4" s="7"/>
      <c r="S4" s="12"/>
      <c r="V4" s="28"/>
      <c r="W4" s="25" t="s">
        <v>241</v>
      </c>
      <c r="X4" s="7"/>
      <c r="Y4" s="12"/>
    </row>
    <row r="5" spans="1:26" ht="18" x14ac:dyDescent="0.35">
      <c r="B5" s="19"/>
      <c r="C5" s="20"/>
      <c r="D5" s="21"/>
      <c r="G5" s="11"/>
      <c r="H5" s="7"/>
      <c r="I5" s="12"/>
      <c r="L5" s="11"/>
      <c r="M5" s="7"/>
      <c r="N5" s="12"/>
      <c r="Q5" s="11"/>
      <c r="R5" s="7"/>
      <c r="S5" s="12"/>
      <c r="V5" s="28"/>
      <c r="W5" s="11"/>
      <c r="X5" s="7"/>
      <c r="Y5" s="12"/>
    </row>
    <row r="6" spans="1:26" ht="25.8" x14ac:dyDescent="0.5">
      <c r="B6" s="27">
        <v>18</v>
      </c>
      <c r="C6" s="20"/>
      <c r="D6" s="21"/>
      <c r="G6" s="27">
        <v>82</v>
      </c>
      <c r="H6" s="7"/>
      <c r="I6" s="12"/>
      <c r="L6" s="27">
        <v>6.7610000000000001</v>
      </c>
      <c r="M6" s="7"/>
      <c r="N6" s="12"/>
      <c r="Q6" s="27">
        <v>7</v>
      </c>
      <c r="R6" s="7"/>
      <c r="S6" s="12"/>
      <c r="V6" s="28"/>
      <c r="W6" s="27">
        <v>22</v>
      </c>
      <c r="X6" s="7"/>
      <c r="Y6" s="12"/>
    </row>
    <row r="7" spans="1:26" ht="18" x14ac:dyDescent="0.35">
      <c r="B7" s="19"/>
      <c r="C7" s="20"/>
      <c r="D7" s="21"/>
      <c r="G7" s="11"/>
      <c r="H7" s="7"/>
      <c r="I7" s="12"/>
      <c r="L7" s="11"/>
      <c r="M7" s="7"/>
      <c r="N7" s="12"/>
      <c r="Q7" s="11"/>
      <c r="R7" s="7"/>
      <c r="S7" s="12"/>
      <c r="V7" s="28"/>
      <c r="W7" s="11"/>
      <c r="X7" s="7"/>
      <c r="Y7" s="12"/>
    </row>
    <row r="8" spans="1:26" ht="18" x14ac:dyDescent="0.35">
      <c r="B8" s="19"/>
      <c r="C8" s="20"/>
      <c r="D8" s="21"/>
      <c r="G8" s="11"/>
      <c r="H8" s="7"/>
      <c r="I8" s="12"/>
      <c r="L8" s="11"/>
      <c r="M8" s="7"/>
      <c r="N8" s="12"/>
      <c r="Q8" s="11"/>
      <c r="R8" s="7"/>
      <c r="S8" s="12"/>
      <c r="V8" s="28"/>
      <c r="W8" s="11"/>
      <c r="X8" s="7"/>
      <c r="Y8" s="12"/>
    </row>
    <row r="9" spans="1:26" ht="18.600000000000001" thickBot="1" x14ac:dyDescent="0.4">
      <c r="B9" s="22"/>
      <c r="C9" s="23"/>
      <c r="D9" s="24"/>
      <c r="G9" s="13"/>
      <c r="H9" s="14"/>
      <c r="I9" s="15"/>
      <c r="L9" s="13"/>
      <c r="M9" s="14"/>
      <c r="N9" s="15"/>
      <c r="Q9" s="13"/>
      <c r="R9" s="14"/>
      <c r="S9" s="15"/>
      <c r="V9" s="28"/>
      <c r="W9" s="13"/>
      <c r="X9" s="14"/>
      <c r="Y9" s="15"/>
    </row>
  </sheetData>
  <mergeCells count="1">
    <mergeCell ref="A1:Z1"/>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table&amp;charts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hafsa afzal</dc:creator>
  <cp:lastModifiedBy>hafsa afzal</cp:lastModifiedBy>
  <dcterms:created xsi:type="dcterms:W3CDTF">2026-06-20T09:47:31Z</dcterms:created>
  <dcterms:modified xsi:type="dcterms:W3CDTF">2026-06-20T10:45:35Z</dcterms:modified>
</cp:coreProperties>
</file>